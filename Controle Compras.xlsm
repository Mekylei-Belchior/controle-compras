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iagrams/data1.xml" ContentType="application/vnd.openxmlformats-officedocument.drawingml.diagramData+xml"/>
  <Override PartName="/xl/diagrams/layout1.xml" ContentType="application/vnd.openxmlformats-officedocument.drawingml.diagramLayout+xml"/>
  <Override PartName="/xl/diagrams/quickStyle1.xml" ContentType="application/vnd.openxmlformats-officedocument.drawingml.diagramStyle+xml"/>
  <Override PartName="/xl/diagrams/colors1.xml" ContentType="application/vnd.openxmlformats-officedocument.drawingml.diagramColors+xml"/>
  <Override PartName="/xl/diagrams/drawing1.xml" ContentType="application/vnd.ms-office.drawingml.diagramDrawing+xml"/>
  <Override PartName="/xl/drawings/drawing2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theme/themeOverride1.xml" ContentType="application/vnd.openxmlformats-officedocument.themeOverride+xml"/>
  <Override PartName="/xl/diagrams/data2.xml" ContentType="application/vnd.openxmlformats-officedocument.drawingml.diagramData+xml"/>
  <Override PartName="/xl/diagrams/layout2.xml" ContentType="application/vnd.openxmlformats-officedocument.drawingml.diagramLayout+xml"/>
  <Override PartName="/xl/diagrams/quickStyle2.xml" ContentType="application/vnd.openxmlformats-officedocument.drawingml.diagramStyle+xml"/>
  <Override PartName="/xl/diagrams/colors2.xml" ContentType="application/vnd.openxmlformats-officedocument.drawingml.diagramColors+xml"/>
  <Override PartName="/xl/diagrams/drawing2.xml" ContentType="application/vnd.ms-office.drawingml.diagramDrawing+xml"/>
  <Override PartName="/xl/drawings/drawing3.xml" ContentType="application/vnd.openxmlformats-officedocument.drawing+xml"/>
  <Override PartName="/xl/ctrlProps/ctrlProp2.xml" ContentType="application/vnd.ms-excel.controlproperties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theme/themeOverride2.xml" ContentType="application/vnd.openxmlformats-officedocument.themeOverride+xml"/>
  <Override PartName="/xl/diagrams/data3.xml" ContentType="application/vnd.openxmlformats-officedocument.drawingml.diagramData+xml"/>
  <Override PartName="/xl/diagrams/layout3.xml" ContentType="application/vnd.openxmlformats-officedocument.drawingml.diagramLayout+xml"/>
  <Override PartName="/xl/diagrams/quickStyle3.xml" ContentType="application/vnd.openxmlformats-officedocument.drawingml.diagramStyle+xml"/>
  <Override PartName="/xl/diagrams/colors3.xml" ContentType="application/vnd.openxmlformats-officedocument.drawingml.diagramColors+xml"/>
  <Override PartName="/xl/diagrams/drawing3.xml" ContentType="application/vnd.ms-office.drawingml.diagram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persons/person.xml" ContentType="application/vnd.ms-excel.person+xml"/>
  <Override PartName="/xl/threadedComments/threadedComment1.xml" ContentType="application/vnd.ms-excel.threadedcomment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01" codeName="{662AC1DA-710E-409A-AF98-282AFDE22985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C:\Users\mekyl\Documents\GitHub\controle-compras\"/>
    </mc:Choice>
  </mc:AlternateContent>
  <xr:revisionPtr revIDLastSave="0" documentId="13_ncr:1_{FA09F259-9E84-45A2-BFAC-D67E0105984D}" xr6:coauthVersionLast="45" xr6:coauthVersionMax="45" xr10:uidLastSave="{00000000-0000-0000-0000-000000000000}"/>
  <bookViews>
    <workbookView xWindow="-120" yWindow="-120" windowWidth="20730" windowHeight="11160" tabRatio="720" xr2:uid="{00000000-000D-0000-FFFF-FFFF00000000}"/>
  </bookViews>
  <sheets>
    <sheet name="Controle" sheetId="1" r:id="rId1"/>
    <sheet name="Dashboard Geral" sheetId="7" r:id="rId2"/>
    <sheet name="Dashboard Compradores" sheetId="11" r:id="rId3"/>
    <sheet name="Dados" sheetId="13" r:id="rId4"/>
    <sheet name="Transferências" sheetId="14" r:id="rId5"/>
    <sheet name="Análise Geral" sheetId="8" state="hidden" r:id="rId6"/>
    <sheet name="Análise Comprador" sheetId="12" state="hidden" r:id="rId7"/>
  </sheets>
  <functionGroups builtInGroupCount="19"/>
  <definedNames>
    <definedName name="_xlnm._FilterDatabase" localSheetId="0" hidden="1">Controle!$A$8:$W$99</definedName>
    <definedName name="_xlnm._FilterDatabase" localSheetId="4" hidden="1">Transferências!$A$1:$O$120</definedName>
    <definedName name="_xlnm.Print_Area" localSheetId="2">'Dashboard Compradores'!$D$1:$S$42</definedName>
    <definedName name="_xlnm.Print_Area" localSheetId="1">'Dashboard Geral'!$D$1:$S$41</definedName>
    <definedName name="Compradores">INDIRECT("tbComprador[Nome Comprador]")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99" i="1" l="1"/>
  <c r="X99" i="1"/>
  <c r="Z99" i="1"/>
  <c r="AB99" i="1"/>
  <c r="AC99" i="1"/>
  <c r="B98" i="1"/>
  <c r="X98" i="1"/>
  <c r="Z98" i="1"/>
  <c r="AB98" i="1"/>
  <c r="AC98" i="1"/>
  <c r="B97" i="1"/>
  <c r="X97" i="1"/>
  <c r="Z97" i="1"/>
  <c r="AB97" i="1"/>
  <c r="AC97" i="1"/>
  <c r="B96" i="1"/>
  <c r="Y96" i="1" s="1"/>
  <c r="X96" i="1"/>
  <c r="Z96" i="1"/>
  <c r="AB96" i="1"/>
  <c r="AC96" i="1"/>
  <c r="B95" i="1"/>
  <c r="X95" i="1"/>
  <c r="Z95" i="1"/>
  <c r="AB95" i="1"/>
  <c r="AC95" i="1"/>
  <c r="B94" i="1"/>
  <c r="X94" i="1"/>
  <c r="Z94" i="1"/>
  <c r="AB94" i="1"/>
  <c r="AC94" i="1"/>
  <c r="B93" i="1"/>
  <c r="X93" i="1"/>
  <c r="Z93" i="1"/>
  <c r="AB93" i="1"/>
  <c r="AC93" i="1"/>
  <c r="B92" i="1"/>
  <c r="Y92" i="1" s="1"/>
  <c r="X92" i="1"/>
  <c r="Z92" i="1"/>
  <c r="AB92" i="1"/>
  <c r="AC92" i="1"/>
  <c r="B91" i="1"/>
  <c r="X91" i="1"/>
  <c r="Z91" i="1"/>
  <c r="AB91" i="1"/>
  <c r="AC91" i="1"/>
  <c r="B90" i="1"/>
  <c r="X90" i="1"/>
  <c r="Z90" i="1"/>
  <c r="AB90" i="1"/>
  <c r="AC90" i="1"/>
  <c r="B89" i="1"/>
  <c r="X89" i="1"/>
  <c r="Z89" i="1"/>
  <c r="AB89" i="1"/>
  <c r="AC89" i="1"/>
  <c r="B88" i="1"/>
  <c r="X88" i="1"/>
  <c r="Z88" i="1"/>
  <c r="AB88" i="1"/>
  <c r="AC88" i="1"/>
  <c r="B87" i="1"/>
  <c r="X87" i="1"/>
  <c r="Z87" i="1"/>
  <c r="AB87" i="1"/>
  <c r="AC87" i="1"/>
  <c r="B86" i="1"/>
  <c r="X86" i="1"/>
  <c r="Z86" i="1"/>
  <c r="AB86" i="1"/>
  <c r="AC86" i="1"/>
  <c r="B85" i="1"/>
  <c r="X85" i="1"/>
  <c r="Z85" i="1"/>
  <c r="AB85" i="1"/>
  <c r="AC85" i="1"/>
  <c r="B84" i="1"/>
  <c r="X84" i="1"/>
  <c r="Z84" i="1"/>
  <c r="AB84" i="1"/>
  <c r="AC84" i="1"/>
  <c r="B83" i="1"/>
  <c r="X83" i="1"/>
  <c r="Z83" i="1"/>
  <c r="AB83" i="1"/>
  <c r="AC83" i="1"/>
  <c r="B82" i="1"/>
  <c r="X82" i="1"/>
  <c r="Z82" i="1"/>
  <c r="AB82" i="1"/>
  <c r="AC82" i="1"/>
  <c r="B81" i="1"/>
  <c r="X81" i="1"/>
  <c r="Z81" i="1"/>
  <c r="AB81" i="1"/>
  <c r="AC81" i="1"/>
  <c r="B80" i="1"/>
  <c r="X80" i="1"/>
  <c r="Z80" i="1"/>
  <c r="AB80" i="1"/>
  <c r="AC80" i="1"/>
  <c r="B79" i="1"/>
  <c r="X79" i="1"/>
  <c r="Z79" i="1"/>
  <c r="AB79" i="1"/>
  <c r="AC79" i="1"/>
  <c r="B78" i="1"/>
  <c r="X78" i="1"/>
  <c r="Z78" i="1"/>
  <c r="AB78" i="1"/>
  <c r="AC78" i="1"/>
  <c r="B77" i="1"/>
  <c r="X77" i="1"/>
  <c r="Z77" i="1"/>
  <c r="AB77" i="1"/>
  <c r="AC77" i="1"/>
  <c r="B76" i="1"/>
  <c r="X76" i="1"/>
  <c r="Z76" i="1"/>
  <c r="AB76" i="1"/>
  <c r="AC76" i="1"/>
  <c r="B75" i="1"/>
  <c r="X75" i="1"/>
  <c r="Z75" i="1"/>
  <c r="AB75" i="1"/>
  <c r="AC75" i="1"/>
  <c r="B74" i="1"/>
  <c r="X74" i="1"/>
  <c r="Z74" i="1"/>
  <c r="AB74" i="1"/>
  <c r="AC74" i="1"/>
  <c r="B73" i="1"/>
  <c r="X73" i="1"/>
  <c r="Z73" i="1"/>
  <c r="AB73" i="1"/>
  <c r="AC73" i="1"/>
  <c r="B72" i="1"/>
  <c r="X72" i="1"/>
  <c r="Z72" i="1"/>
  <c r="AB72" i="1"/>
  <c r="AC72" i="1"/>
  <c r="B71" i="1"/>
  <c r="X71" i="1"/>
  <c r="Z71" i="1"/>
  <c r="AB71" i="1"/>
  <c r="AC71" i="1"/>
  <c r="B70" i="1"/>
  <c r="X70" i="1"/>
  <c r="Z70" i="1"/>
  <c r="AB70" i="1"/>
  <c r="AC70" i="1"/>
  <c r="B69" i="1"/>
  <c r="X69" i="1"/>
  <c r="Z69" i="1"/>
  <c r="AB69" i="1"/>
  <c r="AC69" i="1"/>
  <c r="B68" i="1"/>
  <c r="X68" i="1"/>
  <c r="Z68" i="1"/>
  <c r="AB68" i="1"/>
  <c r="AC68" i="1"/>
  <c r="B67" i="1"/>
  <c r="X67" i="1"/>
  <c r="Z67" i="1"/>
  <c r="AB67" i="1"/>
  <c r="AC67" i="1"/>
  <c r="B66" i="1"/>
  <c r="X66" i="1"/>
  <c r="Z66" i="1"/>
  <c r="AB66" i="1"/>
  <c r="AC66" i="1"/>
  <c r="B65" i="1"/>
  <c r="X65" i="1"/>
  <c r="Z65" i="1"/>
  <c r="AB65" i="1"/>
  <c r="AC65" i="1"/>
  <c r="B64" i="1"/>
  <c r="X64" i="1"/>
  <c r="Z64" i="1"/>
  <c r="AB64" i="1"/>
  <c r="AC64" i="1"/>
  <c r="B63" i="1"/>
  <c r="X63" i="1"/>
  <c r="Z63" i="1"/>
  <c r="AB63" i="1"/>
  <c r="AC63" i="1"/>
  <c r="B62" i="1"/>
  <c r="X62" i="1"/>
  <c r="Z62" i="1"/>
  <c r="AB62" i="1"/>
  <c r="AC62" i="1"/>
  <c r="B61" i="1"/>
  <c r="X61" i="1"/>
  <c r="Z61" i="1"/>
  <c r="AB61" i="1"/>
  <c r="AC61" i="1"/>
  <c r="B60" i="1"/>
  <c r="X60" i="1"/>
  <c r="Z60" i="1"/>
  <c r="AB60" i="1"/>
  <c r="AC60" i="1"/>
  <c r="B59" i="1"/>
  <c r="X59" i="1"/>
  <c r="Z59" i="1"/>
  <c r="AB59" i="1"/>
  <c r="AC59" i="1"/>
  <c r="B58" i="1"/>
  <c r="X58" i="1"/>
  <c r="Z58" i="1"/>
  <c r="AB58" i="1"/>
  <c r="AC58" i="1"/>
  <c r="B57" i="1"/>
  <c r="X57" i="1"/>
  <c r="Z57" i="1"/>
  <c r="AB57" i="1"/>
  <c r="AC57" i="1"/>
  <c r="B56" i="1"/>
  <c r="X56" i="1"/>
  <c r="Z56" i="1"/>
  <c r="AB56" i="1"/>
  <c r="AC56" i="1"/>
  <c r="B55" i="1"/>
  <c r="X55" i="1"/>
  <c r="Z55" i="1"/>
  <c r="AB55" i="1"/>
  <c r="AC55" i="1"/>
  <c r="B54" i="1"/>
  <c r="X54" i="1"/>
  <c r="Z54" i="1"/>
  <c r="AB54" i="1"/>
  <c r="AC54" i="1"/>
  <c r="B53" i="1"/>
  <c r="X53" i="1"/>
  <c r="Z53" i="1"/>
  <c r="AB53" i="1"/>
  <c r="AC53" i="1"/>
  <c r="B52" i="1"/>
  <c r="X52" i="1"/>
  <c r="Z52" i="1"/>
  <c r="AB52" i="1"/>
  <c r="AC52" i="1"/>
  <c r="B51" i="1"/>
  <c r="X51" i="1"/>
  <c r="Z51" i="1"/>
  <c r="AB51" i="1"/>
  <c r="AC51" i="1"/>
  <c r="B50" i="1"/>
  <c r="X50" i="1"/>
  <c r="Z50" i="1"/>
  <c r="AB50" i="1"/>
  <c r="AC50" i="1"/>
  <c r="B49" i="1"/>
  <c r="X49" i="1"/>
  <c r="Z49" i="1"/>
  <c r="AB49" i="1"/>
  <c r="AC49" i="1"/>
  <c r="B48" i="1"/>
  <c r="X48" i="1"/>
  <c r="Z48" i="1"/>
  <c r="AB48" i="1"/>
  <c r="AC48" i="1"/>
  <c r="B47" i="1"/>
  <c r="X47" i="1"/>
  <c r="Z47" i="1"/>
  <c r="AB47" i="1"/>
  <c r="AC47" i="1"/>
  <c r="B46" i="1"/>
  <c r="X46" i="1"/>
  <c r="Z46" i="1"/>
  <c r="AB46" i="1"/>
  <c r="AC46" i="1"/>
  <c r="B45" i="1"/>
  <c r="X45" i="1"/>
  <c r="Z45" i="1"/>
  <c r="AB45" i="1"/>
  <c r="AC45" i="1"/>
  <c r="B44" i="1"/>
  <c r="X44" i="1"/>
  <c r="Z44" i="1"/>
  <c r="AB44" i="1"/>
  <c r="AC44" i="1"/>
  <c r="B43" i="1"/>
  <c r="X43" i="1"/>
  <c r="Z43" i="1"/>
  <c r="AB43" i="1"/>
  <c r="AC43" i="1"/>
  <c r="B42" i="1"/>
  <c r="X42" i="1"/>
  <c r="Z42" i="1"/>
  <c r="AB42" i="1"/>
  <c r="AC42" i="1"/>
  <c r="B41" i="1"/>
  <c r="X41" i="1"/>
  <c r="Z41" i="1"/>
  <c r="AB41" i="1"/>
  <c r="AC41" i="1"/>
  <c r="B40" i="1"/>
  <c r="X40" i="1"/>
  <c r="Z40" i="1"/>
  <c r="AB40" i="1"/>
  <c r="AC40" i="1"/>
  <c r="B39" i="1"/>
  <c r="X39" i="1"/>
  <c r="Z39" i="1"/>
  <c r="AB39" i="1"/>
  <c r="AC39" i="1"/>
  <c r="B38" i="1"/>
  <c r="X38" i="1"/>
  <c r="Z38" i="1"/>
  <c r="AB38" i="1"/>
  <c r="AC38" i="1"/>
  <c r="B37" i="1"/>
  <c r="X37" i="1"/>
  <c r="Z37" i="1"/>
  <c r="AB37" i="1"/>
  <c r="AC37" i="1"/>
  <c r="B36" i="1"/>
  <c r="X36" i="1"/>
  <c r="Z36" i="1"/>
  <c r="AB36" i="1"/>
  <c r="AC36" i="1"/>
  <c r="B35" i="1"/>
  <c r="X35" i="1"/>
  <c r="Z35" i="1"/>
  <c r="AB35" i="1"/>
  <c r="AC35" i="1"/>
  <c r="B34" i="1"/>
  <c r="X34" i="1"/>
  <c r="Z34" i="1"/>
  <c r="AB34" i="1"/>
  <c r="AC34" i="1"/>
  <c r="B33" i="1"/>
  <c r="X33" i="1"/>
  <c r="Z33" i="1"/>
  <c r="AB33" i="1"/>
  <c r="AC33" i="1"/>
  <c r="B32" i="1"/>
  <c r="X32" i="1"/>
  <c r="Z32" i="1"/>
  <c r="AB32" i="1"/>
  <c r="AC32" i="1"/>
  <c r="B31" i="1"/>
  <c r="X31" i="1"/>
  <c r="Z31" i="1"/>
  <c r="AB31" i="1"/>
  <c r="AC31" i="1"/>
  <c r="B30" i="1"/>
  <c r="X30" i="1"/>
  <c r="Z30" i="1"/>
  <c r="AB30" i="1"/>
  <c r="AC30" i="1"/>
  <c r="B29" i="1"/>
  <c r="X29" i="1"/>
  <c r="Z29" i="1"/>
  <c r="AB29" i="1"/>
  <c r="AC29" i="1"/>
  <c r="B28" i="1"/>
  <c r="X28" i="1"/>
  <c r="Z28" i="1"/>
  <c r="AB28" i="1"/>
  <c r="AC28" i="1"/>
  <c r="B27" i="1"/>
  <c r="X27" i="1"/>
  <c r="Z27" i="1"/>
  <c r="AB27" i="1"/>
  <c r="AC27" i="1"/>
  <c r="B26" i="1"/>
  <c r="X26" i="1"/>
  <c r="Z26" i="1"/>
  <c r="AB26" i="1"/>
  <c r="AC26" i="1"/>
  <c r="B25" i="1"/>
  <c r="X25" i="1"/>
  <c r="Z25" i="1"/>
  <c r="AB25" i="1"/>
  <c r="AC25" i="1"/>
  <c r="B24" i="1"/>
  <c r="X24" i="1"/>
  <c r="Z24" i="1"/>
  <c r="AB24" i="1"/>
  <c r="AC24" i="1"/>
  <c r="B23" i="1"/>
  <c r="X23" i="1"/>
  <c r="Z23" i="1"/>
  <c r="AB23" i="1"/>
  <c r="AC23" i="1"/>
  <c r="B22" i="1"/>
  <c r="X22" i="1"/>
  <c r="Z22" i="1"/>
  <c r="AB22" i="1"/>
  <c r="AC22" i="1"/>
  <c r="B21" i="1"/>
  <c r="X21" i="1"/>
  <c r="Z21" i="1"/>
  <c r="AB21" i="1"/>
  <c r="AC21" i="1"/>
  <c r="B20" i="1"/>
  <c r="X20" i="1"/>
  <c r="Z20" i="1"/>
  <c r="AB20" i="1"/>
  <c r="AC20" i="1"/>
  <c r="B19" i="1"/>
  <c r="X19" i="1"/>
  <c r="Z19" i="1"/>
  <c r="AB19" i="1"/>
  <c r="AC19" i="1"/>
  <c r="B18" i="1"/>
  <c r="X18" i="1"/>
  <c r="Z18" i="1"/>
  <c r="AB18" i="1"/>
  <c r="AC18" i="1"/>
  <c r="B17" i="1"/>
  <c r="X17" i="1"/>
  <c r="Z17" i="1"/>
  <c r="AB17" i="1"/>
  <c r="AC17" i="1"/>
  <c r="B16" i="1"/>
  <c r="X16" i="1"/>
  <c r="Z16" i="1"/>
  <c r="AB16" i="1"/>
  <c r="AC16" i="1"/>
  <c r="B15" i="1"/>
  <c r="X15" i="1"/>
  <c r="Z15" i="1"/>
  <c r="AB15" i="1"/>
  <c r="AC15" i="1"/>
  <c r="B14" i="1"/>
  <c r="X14" i="1"/>
  <c r="Z14" i="1"/>
  <c r="AB14" i="1"/>
  <c r="AC14" i="1"/>
  <c r="B13" i="1"/>
  <c r="X13" i="1"/>
  <c r="Z13" i="1"/>
  <c r="AB13" i="1"/>
  <c r="AC13" i="1"/>
  <c r="B12" i="1"/>
  <c r="X12" i="1"/>
  <c r="Z12" i="1"/>
  <c r="AB12" i="1"/>
  <c r="AC12" i="1"/>
  <c r="B11" i="1"/>
  <c r="X11" i="1"/>
  <c r="Z11" i="1"/>
  <c r="AB11" i="1"/>
  <c r="AC11" i="1"/>
  <c r="B10" i="1"/>
  <c r="X10" i="1"/>
  <c r="Z10" i="1"/>
  <c r="AB10" i="1"/>
  <c r="AC10" i="1"/>
  <c r="Y52" i="1" l="1"/>
  <c r="Y60" i="1"/>
  <c r="Y64" i="1"/>
  <c r="Y72" i="1"/>
  <c r="Y80" i="1"/>
  <c r="Y56" i="1"/>
  <c r="Y68" i="1"/>
  <c r="Y76" i="1"/>
  <c r="Y84" i="1"/>
  <c r="Y88" i="1"/>
  <c r="Y89" i="1"/>
  <c r="Y97" i="1"/>
  <c r="Y12" i="1"/>
  <c r="Y16" i="1"/>
  <c r="Y20" i="1"/>
  <c r="Y24" i="1"/>
  <c r="Y28" i="1"/>
  <c r="Y32" i="1"/>
  <c r="Y36" i="1"/>
  <c r="Y40" i="1"/>
  <c r="Y44" i="1"/>
  <c r="Y48" i="1"/>
  <c r="Y11" i="1"/>
  <c r="Y27" i="1"/>
  <c r="Y59" i="1"/>
  <c r="Y91" i="1"/>
  <c r="Y10" i="1"/>
  <c r="Y14" i="1"/>
  <c r="Y18" i="1"/>
  <c r="Y22" i="1"/>
  <c r="Y26" i="1"/>
  <c r="Y30" i="1"/>
  <c r="Y98" i="1"/>
  <c r="Y49" i="1"/>
  <c r="Y75" i="1"/>
  <c r="Y83" i="1"/>
  <c r="Y86" i="1"/>
  <c r="Y17" i="1"/>
  <c r="Y65" i="1"/>
  <c r="Y33" i="1"/>
  <c r="Y43" i="1"/>
  <c r="Y70" i="1"/>
  <c r="Y73" i="1"/>
  <c r="Y81" i="1"/>
  <c r="Y62" i="1"/>
  <c r="Y94" i="1"/>
  <c r="Y46" i="1"/>
  <c r="Y78" i="1"/>
  <c r="Y15" i="1"/>
  <c r="Y21" i="1"/>
  <c r="Y31" i="1"/>
  <c r="Y34" i="1"/>
  <c r="Y37" i="1"/>
  <c r="Y47" i="1"/>
  <c r="Y50" i="1"/>
  <c r="Y53" i="1"/>
  <c r="Y63" i="1"/>
  <c r="Y66" i="1"/>
  <c r="Y69" i="1"/>
  <c r="Y79" i="1"/>
  <c r="Y82" i="1"/>
  <c r="Y85" i="1"/>
  <c r="Y95" i="1"/>
  <c r="Y19" i="1"/>
  <c r="Y25" i="1"/>
  <c r="Y35" i="1"/>
  <c r="Y38" i="1"/>
  <c r="Y41" i="1"/>
  <c r="Y51" i="1"/>
  <c r="Y54" i="1"/>
  <c r="Y57" i="1"/>
  <c r="Y67" i="1"/>
  <c r="Y99" i="1"/>
  <c r="Y13" i="1"/>
  <c r="Y23" i="1"/>
  <c r="Y29" i="1"/>
  <c r="Y39" i="1"/>
  <c r="Y42" i="1"/>
  <c r="Y45" i="1"/>
  <c r="Y55" i="1"/>
  <c r="Y58" i="1"/>
  <c r="Y61" i="1"/>
  <c r="Y71" i="1"/>
  <c r="Y74" i="1"/>
  <c r="Y77" i="1"/>
  <c r="Y87" i="1"/>
  <c r="Y90" i="1"/>
  <c r="Y93" i="1"/>
  <c r="C1" i="8"/>
  <c r="Z9" i="1" l="1"/>
  <c r="AA16" i="1" l="1"/>
  <c r="AA86" i="1"/>
  <c r="AA82" i="1"/>
  <c r="AA70" i="1"/>
  <c r="AA66" i="1"/>
  <c r="AA54" i="1"/>
  <c r="AA50" i="1"/>
  <c r="AA46" i="1"/>
  <c r="AA42" i="1"/>
  <c r="AA38" i="1"/>
  <c r="AA34" i="1"/>
  <c r="AA30" i="1"/>
  <c r="AA18" i="1"/>
  <c r="AA14" i="1"/>
  <c r="AA28" i="1"/>
  <c r="AA24" i="1"/>
  <c r="AA20" i="1"/>
  <c r="AA12" i="1"/>
  <c r="AA78" i="1"/>
  <c r="AA58" i="1"/>
  <c r="AA98" i="1"/>
  <c r="AA94" i="1"/>
  <c r="AA90" i="1"/>
  <c r="AA74" i="1"/>
  <c r="AA62" i="1"/>
  <c r="AA26" i="1"/>
  <c r="AA22" i="1"/>
  <c r="AA10" i="1"/>
  <c r="AA21" i="1"/>
  <c r="AA85" i="1"/>
  <c r="AA32" i="1"/>
  <c r="AA51" i="1"/>
  <c r="AA73" i="1"/>
  <c r="AA96" i="1"/>
  <c r="AA53" i="1"/>
  <c r="AA92" i="1"/>
  <c r="AA36" i="1"/>
  <c r="AA55" i="1"/>
  <c r="AA77" i="1"/>
  <c r="AA15" i="1"/>
  <c r="AA27" i="1"/>
  <c r="AA49" i="1"/>
  <c r="AA72" i="1"/>
  <c r="AA91" i="1"/>
  <c r="AA44" i="1"/>
  <c r="AA71" i="1"/>
  <c r="AA43" i="1"/>
  <c r="AA47" i="1"/>
  <c r="AA95" i="1"/>
  <c r="AA35" i="1"/>
  <c r="AA57" i="1"/>
  <c r="AA80" i="1"/>
  <c r="AA99" i="1"/>
  <c r="AA63" i="1"/>
  <c r="AA13" i="1"/>
  <c r="AA39" i="1"/>
  <c r="AA61" i="1"/>
  <c r="AA84" i="1"/>
  <c r="AA37" i="1"/>
  <c r="AA33" i="1"/>
  <c r="AA56" i="1"/>
  <c r="AA75" i="1"/>
  <c r="AA97" i="1"/>
  <c r="AA67" i="1"/>
  <c r="AA29" i="1"/>
  <c r="AA93" i="1"/>
  <c r="AA65" i="1"/>
  <c r="AA60" i="1"/>
  <c r="AA19" i="1"/>
  <c r="AA41" i="1"/>
  <c r="AA64" i="1"/>
  <c r="AA83" i="1"/>
  <c r="AA31" i="1"/>
  <c r="AA69" i="1"/>
  <c r="AA23" i="1"/>
  <c r="AA45" i="1"/>
  <c r="AA68" i="1"/>
  <c r="AA87" i="1"/>
  <c r="AA11" i="1"/>
  <c r="AA40" i="1"/>
  <c r="AA59" i="1"/>
  <c r="AA81" i="1"/>
  <c r="AA76" i="1"/>
  <c r="AA25" i="1"/>
  <c r="AA48" i="1"/>
  <c r="AA89" i="1"/>
  <c r="AA79" i="1"/>
  <c r="AA52" i="1"/>
  <c r="AA17" i="1"/>
  <c r="AA88" i="1"/>
  <c r="AA9" i="1"/>
  <c r="AC9" i="1" l="1"/>
  <c r="AB9" i="1"/>
  <c r="X9" i="1"/>
  <c r="B9" i="1" l="1"/>
  <c r="Y9" i="1" s="1"/>
  <c r="C1" i="12" l="1"/>
  <c r="D11" i="12" l="1"/>
  <c r="E11" i="12"/>
  <c r="F11" i="12"/>
  <c r="G11" i="12"/>
  <c r="H11" i="12"/>
  <c r="I11" i="12"/>
  <c r="J11" i="12"/>
  <c r="K11" i="12"/>
  <c r="L11" i="12"/>
  <c r="M11" i="12"/>
  <c r="N11" i="12"/>
  <c r="O11" i="12"/>
  <c r="M11" i="8"/>
  <c r="P11" i="8"/>
  <c r="E11" i="8"/>
  <c r="I11" i="8"/>
  <c r="F11" i="8"/>
  <c r="J11" i="8"/>
  <c r="N11" i="8"/>
  <c r="G11" i="8"/>
  <c r="K11" i="8"/>
  <c r="O11" i="8"/>
  <c r="H11" i="8"/>
  <c r="L11" i="8"/>
  <c r="C4" i="8"/>
  <c r="B4" i="12" s="1"/>
  <c r="D4" i="8" l="1"/>
  <c r="O13" i="12"/>
  <c r="M13" i="12"/>
  <c r="I13" i="12"/>
  <c r="E13" i="12"/>
  <c r="L13" i="12"/>
  <c r="H13" i="12"/>
  <c r="D13" i="12"/>
  <c r="P11" i="12"/>
  <c r="Q11" i="12"/>
  <c r="K13" i="12"/>
  <c r="G13" i="12"/>
  <c r="N13" i="12"/>
  <c r="J13" i="12"/>
  <c r="F13" i="12"/>
  <c r="Y5" i="8" l="1"/>
  <c r="C4" i="12"/>
  <c r="X5" i="12" s="1"/>
  <c r="U5" i="12" s="1"/>
  <c r="Y3" i="8"/>
  <c r="Y4" i="8"/>
  <c r="E4" i="8"/>
  <c r="AH9" i="8"/>
  <c r="AH2" i="8"/>
  <c r="AG9" i="8"/>
  <c r="AG12" i="8" s="1"/>
  <c r="M12" i="12"/>
  <c r="J12" i="12"/>
  <c r="D12" i="12"/>
  <c r="I12" i="12"/>
  <c r="F12" i="12"/>
  <c r="O12" i="12"/>
  <c r="E12" i="12"/>
  <c r="L12" i="12"/>
  <c r="K12" i="12"/>
  <c r="N12" i="12"/>
  <c r="H12" i="12"/>
  <c r="G12" i="12"/>
  <c r="AG2" i="8"/>
  <c r="X1" i="8"/>
  <c r="Y1" i="8"/>
  <c r="AC1" i="8"/>
  <c r="AB1" i="8"/>
  <c r="D18" i="8"/>
  <c r="D9" i="8"/>
  <c r="AC2" i="8"/>
  <c r="W1" i="12" l="1"/>
  <c r="AH2" i="12"/>
  <c r="AG2" i="12"/>
  <c r="X1" i="12"/>
  <c r="AB3" i="12" s="1"/>
  <c r="AF2" i="12"/>
  <c r="AB1" i="12"/>
  <c r="AC3" i="12" s="1"/>
  <c r="AG9" i="12"/>
  <c r="X3" i="12"/>
  <c r="U3" i="12" s="1"/>
  <c r="X4" i="12"/>
  <c r="U4" i="12" s="1"/>
  <c r="AF9" i="12"/>
  <c r="AF12" i="12" s="1"/>
  <c r="AB2" i="12"/>
  <c r="AC2" i="12" s="1"/>
  <c r="C9" i="12"/>
  <c r="C10" i="12" s="1"/>
  <c r="G10" i="12" s="1"/>
  <c r="AA1" i="12"/>
  <c r="C18" i="12"/>
  <c r="D16" i="12" s="1"/>
  <c r="M9" i="8"/>
  <c r="D4" i="12"/>
  <c r="K9" i="8"/>
  <c r="P9" i="8"/>
  <c r="M18" i="8"/>
  <c r="N9" i="8"/>
  <c r="L18" i="8"/>
  <c r="L9" i="8"/>
  <c r="O18" i="8"/>
  <c r="O9" i="8"/>
  <c r="N18" i="8"/>
  <c r="P18" i="8"/>
  <c r="AI9" i="8"/>
  <c r="AI2" i="8"/>
  <c r="AD3" i="8"/>
  <c r="AC4" i="8"/>
  <c r="AC5" i="8"/>
  <c r="Z4" i="8"/>
  <c r="Z5" i="8"/>
  <c r="AC3" i="8"/>
  <c r="Z3" i="8"/>
  <c r="K18" i="8"/>
  <c r="E16" i="8"/>
  <c r="I18" i="8"/>
  <c r="J18" i="8"/>
  <c r="G18" i="8"/>
  <c r="H18" i="8"/>
  <c r="E18" i="8"/>
  <c r="F18" i="8"/>
  <c r="I9" i="8"/>
  <c r="J9" i="8"/>
  <c r="G9" i="8"/>
  <c r="H9" i="8"/>
  <c r="F9" i="8"/>
  <c r="E9" i="8"/>
  <c r="Y6" i="8"/>
  <c r="Z6" i="8" s="1"/>
  <c r="AC6" i="8"/>
  <c r="AD2" i="8"/>
  <c r="AD6" i="8" s="1"/>
  <c r="D10" i="8"/>
  <c r="Y5" i="12" l="1"/>
  <c r="AD3" i="12"/>
  <c r="AH9" i="12"/>
  <c r="AB6" i="12"/>
  <c r="AB5" i="12"/>
  <c r="X6" i="12"/>
  <c r="U6" i="12" s="1"/>
  <c r="AB4" i="12"/>
  <c r="I10" i="12"/>
  <c r="Y4" i="12"/>
  <c r="H18" i="12"/>
  <c r="O10" i="12"/>
  <c r="L10" i="12"/>
  <c r="H10" i="12"/>
  <c r="J10" i="12"/>
  <c r="D10" i="12"/>
  <c r="Y3" i="12"/>
  <c r="N10" i="12"/>
  <c r="E10" i="12"/>
  <c r="K10" i="12"/>
  <c r="D18" i="12"/>
  <c r="F10" i="12"/>
  <c r="M10" i="12"/>
  <c r="J18" i="12"/>
  <c r="I18" i="12"/>
  <c r="F18" i="12"/>
  <c r="O9" i="12"/>
  <c r="L9" i="12"/>
  <c r="J9" i="12"/>
  <c r="G18" i="12"/>
  <c r="K9" i="12"/>
  <c r="N9" i="12"/>
  <c r="M18" i="12"/>
  <c r="G9" i="12"/>
  <c r="I9" i="12"/>
  <c r="N18" i="12"/>
  <c r="M9" i="12"/>
  <c r="F9" i="12"/>
  <c r="H9" i="12"/>
  <c r="O18" i="12"/>
  <c r="L18" i="12"/>
  <c r="K18" i="12"/>
  <c r="D9" i="12"/>
  <c r="E9" i="12"/>
  <c r="E18" i="12"/>
  <c r="AC6" i="12"/>
  <c r="AC4" i="12"/>
  <c r="AC5" i="12"/>
  <c r="AE3" i="8"/>
  <c r="AC7" i="8"/>
  <c r="AE6" i="8"/>
  <c r="O10" i="8"/>
  <c r="P10" i="8"/>
  <c r="M10" i="8"/>
  <c r="N10" i="8"/>
  <c r="K10" i="8"/>
  <c r="L10" i="8"/>
  <c r="I10" i="8"/>
  <c r="J10" i="8"/>
  <c r="H10" i="8"/>
  <c r="G10" i="8"/>
  <c r="E10" i="8"/>
  <c r="F10" i="8"/>
  <c r="AD4" i="8"/>
  <c r="AD5" i="8"/>
  <c r="AE5" i="8" s="1"/>
  <c r="R9" i="8"/>
  <c r="Q9" i="8"/>
  <c r="AD6" i="12" l="1"/>
  <c r="AD5" i="12"/>
  <c r="Y6" i="12"/>
  <c r="AB7" i="12"/>
  <c r="P10" i="12"/>
  <c r="Q10" i="12"/>
  <c r="S10" i="12" s="1"/>
  <c r="P9" i="12"/>
  <c r="Q9" i="12"/>
  <c r="S9" i="12" s="1"/>
  <c r="AD4" i="12"/>
  <c r="AC7" i="12"/>
  <c r="V3" i="12"/>
  <c r="V5" i="12"/>
  <c r="V6" i="12"/>
  <c r="V4" i="12"/>
  <c r="AE4" i="8"/>
  <c r="AD7" i="8"/>
  <c r="T9" i="8"/>
  <c r="AD7" i="12" l="1"/>
  <c r="R9" i="12"/>
  <c r="X11" i="12"/>
  <c r="X10" i="12"/>
  <c r="W11" i="12"/>
  <c r="X9" i="12"/>
  <c r="W9" i="12"/>
  <c r="X8" i="12"/>
  <c r="W10" i="12"/>
  <c r="W8" i="12"/>
  <c r="AE7" i="8"/>
  <c r="P13" i="8"/>
  <c r="H13" i="8"/>
  <c r="R11" i="8"/>
  <c r="E13" i="8"/>
  <c r="Q11" i="8"/>
  <c r="V3" i="8"/>
  <c r="F13" i="8"/>
  <c r="L13" i="8"/>
  <c r="I13" i="8"/>
  <c r="V4" i="8"/>
  <c r="R10" i="8"/>
  <c r="S9" i="8" s="1"/>
  <c r="Q10" i="8"/>
  <c r="K13" i="8"/>
  <c r="G13" i="8"/>
  <c r="O13" i="8"/>
  <c r="V6" i="8"/>
  <c r="V5" i="8"/>
  <c r="N13" i="8"/>
  <c r="J13" i="8"/>
  <c r="M13" i="8"/>
  <c r="T10" i="8" l="1"/>
  <c r="W5" i="8"/>
  <c r="N12" i="8"/>
  <c r="J12" i="8"/>
  <c r="F12" i="8"/>
  <c r="M12" i="8"/>
  <c r="I12" i="8"/>
  <c r="E12" i="8"/>
  <c r="P12" i="8"/>
  <c r="L12" i="8"/>
  <c r="H12" i="8"/>
  <c r="O12" i="8"/>
  <c r="K12" i="8"/>
  <c r="G12" i="8"/>
  <c r="W4" i="8"/>
  <c r="W6" i="8"/>
  <c r="W3" i="8"/>
  <c r="Y9" i="8" l="1"/>
  <c r="X8" i="8"/>
  <c r="X9" i="8"/>
  <c r="Y11" i="8"/>
  <c r="Y10" i="8"/>
  <c r="X11" i="8"/>
  <c r="X10" i="8"/>
  <c r="Y8" i="8"/>
  <c r="AG5" i="8"/>
  <c r="AF5" i="12" l="1"/>
</calcChain>
</file>

<file path=xl/sharedStrings.xml><?xml version="1.0" encoding="utf-8"?>
<sst xmlns="http://schemas.openxmlformats.org/spreadsheetml/2006/main" count="1223" uniqueCount="196">
  <si>
    <t>ReqC</t>
  </si>
  <si>
    <t>Item</t>
  </si>
  <si>
    <t>Material</t>
  </si>
  <si>
    <t>Quantidade</t>
  </si>
  <si>
    <t>Comprador</t>
  </si>
  <si>
    <t>Nº. Cotação</t>
  </si>
  <si>
    <t>Nº. Pedido</t>
  </si>
  <si>
    <t>Concluído</t>
  </si>
  <si>
    <t>Em andamento</t>
  </si>
  <si>
    <t>Data Transferência</t>
  </si>
  <si>
    <t>Data Pedido</t>
  </si>
  <si>
    <t>Pendente</t>
  </si>
  <si>
    <t>Aux.</t>
  </si>
  <si>
    <t>Data Atual</t>
  </si>
  <si>
    <t>Ano</t>
  </si>
  <si>
    <t>Mês</t>
  </si>
  <si>
    <t>Outros</t>
  </si>
  <si>
    <t>Jan</t>
  </si>
  <si>
    <t>Fev</t>
  </si>
  <si>
    <t>Mar</t>
  </si>
  <si>
    <t>Abr</t>
  </si>
  <si>
    <t>Mai</t>
  </si>
  <si>
    <t>Jun</t>
  </si>
  <si>
    <t>Jul</t>
  </si>
  <si>
    <t>Ago</t>
  </si>
  <si>
    <t>Set</t>
  </si>
  <si>
    <t>Out</t>
  </si>
  <si>
    <t>Nov</t>
  </si>
  <si>
    <t>Dez</t>
  </si>
  <si>
    <t>Média</t>
  </si>
  <si>
    <t>Total</t>
  </si>
  <si>
    <t>% Var.</t>
  </si>
  <si>
    <t>% Repr. Total</t>
  </si>
  <si>
    <t>Total Geral</t>
  </si>
  <si>
    <t>Foco TG</t>
  </si>
  <si>
    <t>Mês Trans.</t>
  </si>
  <si>
    <t>Ano Trans.</t>
  </si>
  <si>
    <t>Qtde ReqC</t>
  </si>
  <si>
    <t>Descrição</t>
  </si>
  <si>
    <t>Aging [dias]</t>
  </si>
  <si>
    <t>RC Recebidas</t>
  </si>
  <si>
    <t>Atendidas</t>
  </si>
  <si>
    <t>Não Atendidas</t>
  </si>
  <si>
    <t>Aging Médio</t>
  </si>
  <si>
    <t>Aging Fracion.</t>
  </si>
  <si>
    <t>Análise Requisições</t>
  </si>
  <si>
    <t>ID</t>
  </si>
  <si>
    <t>Nome Comprador</t>
  </si>
  <si>
    <t>Valor Total</t>
  </si>
  <si>
    <t>Status Pedido</t>
  </si>
  <si>
    <t>Inserir um ID e o Nome para cada comprador. O ID tem que seguir a sequência (1, 2, 3, ...) e não pode ser repetido!</t>
  </si>
  <si>
    <t>Obs. Cotação</t>
  </si>
  <si>
    <t>Status Cotação</t>
  </si>
  <si>
    <t>Data Abert. Cotação</t>
  </si>
  <si>
    <t>Data Encer. Cotação</t>
  </si>
  <si>
    <t>Data Envio Pedido</t>
  </si>
  <si>
    <t>Obs. Pedido</t>
  </si>
  <si>
    <t>Data Inicial Comprador</t>
  </si>
  <si>
    <t>Data Final Comprador</t>
  </si>
  <si>
    <t>Status Comprador</t>
  </si>
  <si>
    <t>Valor Pedido</t>
  </si>
  <si>
    <t>Item Exclusívo</t>
  </si>
  <si>
    <t>Qtde Exclusivo</t>
  </si>
  <si>
    <t>Atentidos</t>
  </si>
  <si>
    <t>Não Atendidos</t>
  </si>
  <si>
    <t>Itens Recebidos</t>
  </si>
  <si>
    <t>Requisições</t>
  </si>
  <si>
    <t>Ano Selecionado</t>
  </si>
  <si>
    <t>Comprador 1</t>
  </si>
  <si>
    <t>Comprador 2</t>
  </si>
  <si>
    <t>Comprador 3</t>
  </si>
  <si>
    <t>Comprador 4</t>
  </si>
  <si>
    <t>Comprador 5</t>
  </si>
  <si>
    <t>Modificado em</t>
  </si>
  <si>
    <t>Grupo de compradores</t>
  </si>
  <si>
    <t>Requisição de compra</t>
  </si>
  <si>
    <t>Item ReqC</t>
  </si>
  <si>
    <t>Texto breve</t>
  </si>
  <si>
    <t>Qtd.solicitada</t>
  </si>
  <si>
    <t>Unidade de medida</t>
  </si>
  <si>
    <t>Valor total</t>
  </si>
  <si>
    <t>Código de liberação</t>
  </si>
  <si>
    <t>Criado por</t>
  </si>
  <si>
    <t>Requisitante</t>
  </si>
  <si>
    <t>Data da solicitação</t>
  </si>
  <si>
    <t>Centro</t>
  </si>
  <si>
    <t>Status processamento</t>
  </si>
  <si>
    <t>Fita marcação preta/amar. L.7cm x 200m</t>
  </si>
  <si>
    <t>UN</t>
  </si>
  <si>
    <t>Bolsa pochete em poliéster 27x17x8cm</t>
  </si>
  <si>
    <t>Bag polipropileno</t>
  </si>
  <si>
    <t>Palete polietileno 1200x1000x140mm</t>
  </si>
  <si>
    <t>Derivante esférico fech.rápido p/mang.in</t>
  </si>
  <si>
    <t>PÇ</t>
  </si>
  <si>
    <t>Esguicho de jato regulável p/mang.incênd</t>
  </si>
  <si>
    <t>Chave de aperto</t>
  </si>
  <si>
    <t>Redução esp. p/mang.incêndio</t>
  </si>
  <si>
    <t>Corrente de isolamento PRE/AMA</t>
  </si>
  <si>
    <t>Cone zebrado amarelo e preto 75cm</t>
  </si>
  <si>
    <t>Rodo para limpeza</t>
  </si>
  <si>
    <t>Vassoura</t>
  </si>
  <si>
    <t>Contentor 20L transf. líq. inflam.</t>
  </si>
  <si>
    <t>Jardineira segurança TREVIRA-KP500 AMA G</t>
  </si>
  <si>
    <t>Disco rígido 240Gb PCIe M2</t>
  </si>
  <si>
    <t>BRAÇADEIRA SMS BRANCA/VERDE</t>
  </si>
  <si>
    <t>Detector de O2 0-25%</t>
  </si>
  <si>
    <t>Detector de H2S 0-20ppm</t>
  </si>
  <si>
    <t>Detector de hidrocarbonetos 0-100%LEL</t>
  </si>
  <si>
    <t>CILINDRO NITROGÊNIO SIST. GAS INERTE</t>
  </si>
  <si>
    <t>Carta náutica n° 4032A Nac. Porto de Man</t>
  </si>
  <si>
    <t>Bomba duplo diafr. diesel 31,8m3/h</t>
  </si>
  <si>
    <t>Compensado naval pinus 6mm</t>
  </si>
  <si>
    <t>Bandeira da Petrobras 1,80x2,57m</t>
  </si>
  <si>
    <t>Bandeira da Petrobras 0,9x1,28m</t>
  </si>
  <si>
    <t>Monitor LED 27pol</t>
  </si>
  <si>
    <t>Switch 24 portas 10/100/1000MB/s</t>
  </si>
  <si>
    <t>Conjunto corda+gancho em A G/PP/PVC 6,6k</t>
  </si>
  <si>
    <t>SACA AMOSTRAS 35M COM BOMBA</t>
  </si>
  <si>
    <t>Kit completo p/compr. SABROE</t>
  </si>
  <si>
    <t>Arruela p/compr. SABROE</t>
  </si>
  <si>
    <t>Reparo p/compr. SABROE</t>
  </si>
  <si>
    <t>Kit de serviço p/compr. SABROE</t>
  </si>
  <si>
    <t>Cilindro 1m3 aço carbono</t>
  </si>
  <si>
    <t>Roteador WLAN 2,4-5GHz 802.11a/g/n/ac</t>
  </si>
  <si>
    <t>Fonte de alimentação 55V</t>
  </si>
  <si>
    <t>Álcool isopropílico</t>
  </si>
  <si>
    <t>L</t>
  </si>
  <si>
    <t>Álcool etílico</t>
  </si>
  <si>
    <t>Óleo de silicone</t>
  </si>
  <si>
    <t>Etilenoglicol</t>
  </si>
  <si>
    <t>Solução Karl Fischer</t>
  </si>
  <si>
    <t>Éter de petróleo fr c/ 1L</t>
  </si>
  <si>
    <t>Xileno fr c/ 1L</t>
  </si>
  <si>
    <t>Reator para lâmpada fluorescente 2x 127/</t>
  </si>
  <si>
    <t>Sensor proximidade tp.indutivo</t>
  </si>
  <si>
    <t>Bomba alternativa p/uso industrial uso g</t>
  </si>
  <si>
    <t>Rádio transceptor portátil 16 canais</t>
  </si>
  <si>
    <t>Selo mecânico bomba KSB</t>
  </si>
  <si>
    <t>Rolamento de esferas bomba KSB</t>
  </si>
  <si>
    <t>Junta de vedação bomba KSB</t>
  </si>
  <si>
    <t>Anel de apoio bomba KSB</t>
  </si>
  <si>
    <t>TINTA EPOXI</t>
  </si>
  <si>
    <t>Trena de profundidade</t>
  </si>
  <si>
    <t>CDA</t>
  </si>
  <si>
    <t>Aciclovir compr. 400mg</t>
  </si>
  <si>
    <t>Besilato de anlodipino compr. embalagem</t>
  </si>
  <si>
    <t>Zart compr.revest. 50mg embalagem com 30</t>
  </si>
  <si>
    <t>Vitamina C compr. 500mg</t>
  </si>
  <si>
    <t>Benalet pastilha 5mg</t>
  </si>
  <si>
    <t>Colírio Moura Brasil colír. 20ml</t>
  </si>
  <si>
    <t>Tarugo maciço LT ASTM B11 DE1"</t>
  </si>
  <si>
    <t>M</t>
  </si>
  <si>
    <t>Niple duplo AC p/tubo 1" NPTFx37° 1-11x1</t>
  </si>
  <si>
    <t>Luva red. A105 enc.solda 2 1/2x1 1/2" 30</t>
  </si>
  <si>
    <t>União fêmea Lt p/tubo 10mm compressão x</t>
  </si>
  <si>
    <t>União fêmea Lt p/tubo 6mm compressão x r</t>
  </si>
  <si>
    <t>União fêmea Lt p/tubo 8mm compressão x r</t>
  </si>
  <si>
    <t>Cilindro 9kg aço carbono</t>
  </si>
  <si>
    <t>Cilindro 10m3 aço carbono</t>
  </si>
  <si>
    <t>Acended. maç/soldag.</t>
  </si>
  <si>
    <t>Cabeça de corte maç/corte</t>
  </si>
  <si>
    <t>Bico de solda maç/soldag.</t>
  </si>
  <si>
    <t>Maçarico soldagem esp.100mm</t>
  </si>
  <si>
    <t>Regulador pressão conex. saída: CGA E-1</t>
  </si>
  <si>
    <t>Válvula maç/corte p/oxi-acetileno</t>
  </si>
  <si>
    <t>Válvula corta-chamas reg.press. p/maçari</t>
  </si>
  <si>
    <t>Conector latão 1"</t>
  </si>
  <si>
    <t>Conector fêmea AI-316 p/tubo 1/4" NPTx t</t>
  </si>
  <si>
    <t>Conector latão 1/2"</t>
  </si>
  <si>
    <t>Catraca p/soq. revers. 1/2"</t>
  </si>
  <si>
    <t>Catraca p/soq. revers. 3/4"</t>
  </si>
  <si>
    <t>Adaptador p/soq. 1/2-1/4"</t>
  </si>
  <si>
    <t>Catraca p/soq. revers. 36e41mm</t>
  </si>
  <si>
    <t>Chave catraca pneumática 125 Nm</t>
  </si>
  <si>
    <t>Saca-polia hidrául.</t>
  </si>
  <si>
    <t>Jogo Vazadores 4 a 32mm</t>
  </si>
  <si>
    <t>Válvula corta-chamas maç/corte p/oxigêni</t>
  </si>
  <si>
    <t>Válvula corta-chamas maç/corte p/acetile</t>
  </si>
  <si>
    <t>XXX</t>
  </si>
  <si>
    <t>AAA</t>
  </si>
  <si>
    <t>BBB</t>
  </si>
  <si>
    <t>CCCC</t>
  </si>
  <si>
    <t>BBBB</t>
  </si>
  <si>
    <t>AAAA</t>
  </si>
  <si>
    <t>DDDD</t>
  </si>
  <si>
    <t>TTTTT</t>
  </si>
  <si>
    <t>ZZZZ</t>
  </si>
  <si>
    <t>Finalizada - Com resposta</t>
  </si>
  <si>
    <t>Aprovado</t>
  </si>
  <si>
    <t>Cancelado</t>
  </si>
  <si>
    <t>Cancelada</t>
  </si>
  <si>
    <t>Item não será mais necessário</t>
  </si>
  <si>
    <t>Finalizada - Sem resposta</t>
  </si>
  <si>
    <t>Valor excedeu o orçamento</t>
  </si>
  <si>
    <t>Em negociação</t>
  </si>
  <si>
    <t>Fornecedor não conseguiu fornecer o material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</si>
</sst>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44" formatCode="_-&quot;R$&quot;* #,##0.00_-;\-&quot;R$&quot;* #,##0.00_-;_-&quot;R$&quot;* &quot;-&quot;??_-;_-@_-"/>
    <numFmt numFmtId="164" formatCode="0.0000000000"/>
    <numFmt numFmtId="165" formatCode="#,##0.000"/>
  </numFmts>
  <fonts count="13" x14ac:knownFonts="1">
    <font>
      <sz val="11"/>
      <color theme="1"/>
      <name val="Calibri"/>
      <family val="2"/>
      <scheme val="minor"/>
    </font>
    <font>
      <sz val="10"/>
      <name val="Arial"/>
    </font>
    <font>
      <sz val="11"/>
      <color theme="1"/>
      <name val="Calibri"/>
      <family val="2"/>
      <scheme val="minor"/>
    </font>
    <font>
      <sz val="10"/>
      <color theme="1"/>
      <name val="Trebuchet MS"/>
      <family val="2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color theme="5"/>
      <name val="Calibri"/>
      <family val="2"/>
      <scheme val="minor"/>
    </font>
    <font>
      <sz val="11"/>
      <color theme="1"/>
      <name val="Trebuchet MS"/>
      <family val="2"/>
    </font>
    <font>
      <b/>
      <i/>
      <sz val="11"/>
      <color theme="1"/>
      <name val="Calibri"/>
      <family val="2"/>
      <scheme val="minor"/>
    </font>
    <font>
      <i/>
      <sz val="10"/>
      <color rgb="FFFF0000"/>
      <name val="Trebuchet MS"/>
      <family val="2"/>
    </font>
    <font>
      <sz val="8"/>
      <name val="Calibri"/>
      <family val="2"/>
      <scheme val="minor"/>
    </font>
    <font>
      <sz val="10"/>
      <name val="Arial"/>
      <family val="2"/>
    </font>
    <font>
      <sz val="10"/>
      <name val="Trebuchet MS"/>
      <family val="2"/>
    </font>
  </fonts>
  <fills count="4">
    <fill>
      <patternFill patternType="none"/>
    </fill>
    <fill>
      <patternFill patternType="gray125"/>
    </fill>
    <fill>
      <patternFill patternType="solid">
        <fgColor theme="1" tint="0.499984740745262"/>
        <bgColor indexed="64"/>
      </patternFill>
    </fill>
    <fill>
      <patternFill patternType="solid">
        <fgColor theme="5" tint="0.39997558519241921"/>
        <bgColor indexed="64"/>
      </patternFill>
    </fill>
  </fills>
  <borders count="6">
    <border>
      <left/>
      <right/>
      <top/>
      <bottom/>
      <diagonal/>
    </border>
    <border>
      <left/>
      <right/>
      <top/>
      <bottom style="double">
        <color auto="1"/>
      </bottom>
      <diagonal/>
    </border>
    <border>
      <left/>
      <right/>
      <top/>
      <bottom style="hair">
        <color auto="1"/>
      </bottom>
      <diagonal/>
    </border>
    <border>
      <left/>
      <right/>
      <top style="double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6">
    <xf numFmtId="0" fontId="0" fillId="0" borderId="0"/>
    <xf numFmtId="0" fontId="1" fillId="0" borderId="0"/>
    <xf numFmtId="44" fontId="2" fillId="0" borderId="0" applyFont="0" applyFill="0" applyBorder="0" applyAlignment="0" applyProtection="0"/>
    <xf numFmtId="0" fontId="4" fillId="0" borderId="0">
      <alignment vertical="center"/>
    </xf>
    <xf numFmtId="9" fontId="4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61">
    <xf numFmtId="0" fontId="0" fillId="0" borderId="0" xfId="0"/>
    <xf numFmtId="14" fontId="0" fillId="0" borderId="0" xfId="0" applyNumberFormat="1"/>
    <xf numFmtId="14" fontId="0" fillId="0" borderId="0" xfId="0" applyNumberFormat="1" applyAlignment="1">
      <alignment horizontal="center" vertical="center"/>
    </xf>
    <xf numFmtId="0" fontId="0" fillId="0" borderId="0" xfId="0" applyNumberFormat="1"/>
    <xf numFmtId="0" fontId="0" fillId="0" borderId="0" xfId="0" applyAlignment="1">
      <alignment horizontal="center" vertical="center"/>
    </xf>
    <xf numFmtId="0" fontId="3" fillId="0" borderId="0" xfId="0" applyFont="1"/>
    <xf numFmtId="0" fontId="0" fillId="0" borderId="0" xfId="0" applyFont="1"/>
    <xf numFmtId="0" fontId="4" fillId="0" borderId="0" xfId="3">
      <alignment vertical="center"/>
    </xf>
    <xf numFmtId="0" fontId="7" fillId="0" borderId="0" xfId="0" applyFont="1" applyAlignment="1">
      <alignment horizontal="center" vertical="center"/>
    </xf>
    <xf numFmtId="0" fontId="4" fillId="0" borderId="0" xfId="3" applyAlignment="1" applyProtection="1">
      <alignment horizontal="center" vertical="center"/>
      <protection hidden="1"/>
    </xf>
    <xf numFmtId="0" fontId="4" fillId="0" borderId="0" xfId="3" applyProtection="1">
      <alignment vertical="center"/>
      <protection hidden="1"/>
    </xf>
    <xf numFmtId="0" fontId="4" fillId="0" borderId="0" xfId="3" applyAlignment="1" applyProtection="1">
      <alignment horizontal="left" vertical="center"/>
      <protection hidden="1"/>
    </xf>
    <xf numFmtId="3" fontId="4" fillId="0" borderId="0" xfId="3" applyNumberFormat="1" applyAlignment="1" applyProtection="1">
      <alignment horizontal="center" vertical="center"/>
      <protection hidden="1"/>
    </xf>
    <xf numFmtId="0" fontId="5" fillId="0" borderId="1" xfId="3" applyFont="1" applyBorder="1" applyAlignment="1" applyProtection="1">
      <alignment horizontal="center" vertical="center"/>
      <protection hidden="1"/>
    </xf>
    <xf numFmtId="0" fontId="6" fillId="0" borderId="1" xfId="3" applyFont="1" applyBorder="1" applyAlignment="1" applyProtection="1">
      <alignment horizontal="center" vertical="center"/>
      <protection hidden="1"/>
    </xf>
    <xf numFmtId="0" fontId="4" fillId="0" borderId="1" xfId="3" applyBorder="1" applyAlignment="1" applyProtection="1">
      <alignment horizontal="center" vertical="center"/>
      <protection hidden="1"/>
    </xf>
    <xf numFmtId="1" fontId="4" fillId="0" borderId="0" xfId="3" applyNumberFormat="1" applyAlignment="1" applyProtection="1">
      <alignment horizontal="center" vertical="center"/>
      <protection hidden="1"/>
    </xf>
    <xf numFmtId="10" fontId="0" fillId="0" borderId="0" xfId="4" applyNumberFormat="1" applyFont="1" applyAlignment="1" applyProtection="1">
      <alignment horizontal="center" vertical="center"/>
      <protection hidden="1"/>
    </xf>
    <xf numFmtId="9" fontId="4" fillId="0" borderId="0" xfId="3" applyNumberFormat="1" applyAlignment="1" applyProtection="1">
      <alignment horizontal="center" vertical="center"/>
      <protection hidden="1"/>
    </xf>
    <xf numFmtId="0" fontId="5" fillId="0" borderId="2" xfId="3" applyFont="1" applyBorder="1" applyAlignment="1" applyProtection="1">
      <alignment horizontal="left" vertical="center"/>
      <protection hidden="1"/>
    </xf>
    <xf numFmtId="9" fontId="2" fillId="0" borderId="3" xfId="5" applyFont="1" applyBorder="1" applyAlignment="1" applyProtection="1">
      <alignment horizontal="center" vertical="center"/>
      <protection hidden="1"/>
    </xf>
    <xf numFmtId="14" fontId="4" fillId="0" borderId="0" xfId="3" applyNumberFormat="1" applyAlignment="1" applyProtection="1">
      <alignment horizontal="center" vertical="center"/>
      <protection hidden="1"/>
    </xf>
    <xf numFmtId="1" fontId="5" fillId="0" borderId="2" xfId="3" applyNumberFormat="1" applyFont="1" applyBorder="1" applyAlignment="1" applyProtection="1">
      <alignment horizontal="center" vertical="center"/>
      <protection hidden="1"/>
    </xf>
    <xf numFmtId="9" fontId="0" fillId="0" borderId="2" xfId="4" applyFont="1" applyBorder="1" applyAlignment="1" applyProtection="1">
      <alignment horizontal="center" vertical="center"/>
      <protection hidden="1"/>
    </xf>
    <xf numFmtId="0" fontId="5" fillId="0" borderId="4" xfId="3" applyFont="1" applyBorder="1" applyAlignment="1" applyProtection="1">
      <alignment horizontal="left" vertical="center"/>
      <protection hidden="1"/>
    </xf>
    <xf numFmtId="9" fontId="0" fillId="0" borderId="4" xfId="4" applyFont="1" applyBorder="1" applyAlignment="1" applyProtection="1">
      <alignment horizontal="center" vertical="center"/>
      <protection hidden="1"/>
    </xf>
    <xf numFmtId="0" fontId="4" fillId="0" borderId="0" xfId="3" applyAlignment="1" applyProtection="1">
      <alignment horizontal="centerContinuous" vertical="center"/>
      <protection hidden="1"/>
    </xf>
    <xf numFmtId="1" fontId="5" fillId="0" borderId="4" xfId="3" applyNumberFormat="1" applyFont="1" applyBorder="1" applyAlignment="1" applyProtection="1">
      <alignment horizontal="center" vertical="center"/>
      <protection hidden="1"/>
    </xf>
    <xf numFmtId="1" fontId="6" fillId="0" borderId="4" xfId="3" applyNumberFormat="1" applyFont="1" applyBorder="1" applyAlignment="1" applyProtection="1">
      <alignment horizontal="center" vertical="center"/>
      <protection hidden="1"/>
    </xf>
    <xf numFmtId="1" fontId="4" fillId="0" borderId="0" xfId="3" applyNumberFormat="1" applyProtection="1">
      <alignment vertical="center"/>
      <protection hidden="1"/>
    </xf>
    <xf numFmtId="0" fontId="4" fillId="0" borderId="0" xfId="3" applyAlignment="1" applyProtection="1">
      <alignment vertical="center"/>
      <protection hidden="1"/>
    </xf>
    <xf numFmtId="0" fontId="4" fillId="0" borderId="0" xfId="3" applyProtection="1">
      <alignment vertical="center"/>
      <protection locked="0" hidden="1"/>
    </xf>
    <xf numFmtId="0" fontId="8" fillId="0" borderId="0" xfId="0" applyFont="1"/>
    <xf numFmtId="2" fontId="4" fillId="0" borderId="0" xfId="3" applyNumberFormat="1" applyAlignment="1" applyProtection="1">
      <alignment horizontal="center" vertical="center"/>
      <protection hidden="1"/>
    </xf>
    <xf numFmtId="1" fontId="5" fillId="0" borderId="3" xfId="3" applyNumberFormat="1" applyFont="1" applyBorder="1" applyAlignment="1" applyProtection="1">
      <alignment horizontal="center" vertical="center"/>
      <protection hidden="1"/>
    </xf>
    <xf numFmtId="1" fontId="6" fillId="0" borderId="3" xfId="3" applyNumberFormat="1" applyFont="1" applyBorder="1" applyAlignment="1" applyProtection="1">
      <alignment horizontal="center" vertical="center"/>
      <protection hidden="1"/>
    </xf>
    <xf numFmtId="1" fontId="6" fillId="0" borderId="2" xfId="3" applyNumberFormat="1" applyFont="1" applyBorder="1" applyAlignment="1" applyProtection="1">
      <alignment horizontal="center" vertical="center"/>
      <protection hidden="1"/>
    </xf>
    <xf numFmtId="0" fontId="9" fillId="0" borderId="0" xfId="0" applyFont="1"/>
    <xf numFmtId="164" fontId="4" fillId="0" borderId="0" xfId="3" applyNumberFormat="1" applyProtection="1">
      <alignment vertical="center"/>
      <protection hidden="1"/>
    </xf>
    <xf numFmtId="0" fontId="5" fillId="0" borderId="1" xfId="3" applyFont="1" applyBorder="1" applyAlignment="1" applyProtection="1">
      <alignment horizontal="left" vertical="center"/>
      <protection hidden="1"/>
    </xf>
    <xf numFmtId="0" fontId="11" fillId="0" borderId="0" xfId="0" applyFont="1"/>
    <xf numFmtId="0" fontId="12" fillId="0" borderId="0" xfId="0" applyFont="1"/>
    <xf numFmtId="14" fontId="3" fillId="0" borderId="0" xfId="0" applyNumberFormat="1" applyFont="1" applyAlignment="1">
      <alignment horizontal="right"/>
    </xf>
    <xf numFmtId="3" fontId="3" fillId="0" borderId="0" xfId="0" applyNumberFormat="1" applyFont="1" applyAlignment="1">
      <alignment horizontal="right"/>
    </xf>
    <xf numFmtId="4" fontId="3" fillId="0" borderId="0" xfId="0" applyNumberFormat="1" applyFont="1" applyAlignment="1">
      <alignment horizontal="right"/>
    </xf>
    <xf numFmtId="0" fontId="3" fillId="2" borderId="5" xfId="0" applyFont="1" applyFill="1" applyBorder="1"/>
    <xf numFmtId="14" fontId="3" fillId="3" borderId="5" xfId="0" applyNumberFormat="1" applyFont="1" applyFill="1" applyBorder="1" applyAlignment="1">
      <alignment horizontal="right"/>
    </xf>
    <xf numFmtId="0" fontId="3" fillId="3" borderId="5" xfId="0" applyFont="1" applyFill="1" applyBorder="1"/>
    <xf numFmtId="165" fontId="3" fillId="3" borderId="5" xfId="0" applyNumberFormat="1" applyFont="1" applyFill="1" applyBorder="1" applyAlignment="1">
      <alignment horizontal="right"/>
    </xf>
    <xf numFmtId="4" fontId="3" fillId="3" borderId="5" xfId="0" applyNumberFormat="1" applyFont="1" applyFill="1" applyBorder="1" applyAlignment="1">
      <alignment horizontal="right"/>
    </xf>
    <xf numFmtId="0" fontId="0" fillId="0" borderId="0" xfId="0" applyFont="1" applyFill="1" applyBorder="1" applyAlignment="1">
      <alignment horizontal="center" vertical="center"/>
    </xf>
    <xf numFmtId="0" fontId="0" fillId="0" borderId="0" xfId="0" applyNumberFormat="1" applyFont="1" applyFill="1" applyBorder="1" applyAlignment="1">
      <alignment horizontal="center" vertical="center"/>
    </xf>
    <xf numFmtId="14" fontId="0" fillId="0" borderId="0" xfId="0" applyNumberFormat="1" applyFont="1" applyFill="1" applyBorder="1" applyAlignment="1">
      <alignment horizontal="center" vertical="center"/>
    </xf>
    <xf numFmtId="0" fontId="0" fillId="0" borderId="0" xfId="0" applyFont="1" applyFill="1" applyBorder="1"/>
    <xf numFmtId="0" fontId="0" fillId="0" borderId="0" xfId="0" applyNumberFormat="1" applyFont="1" applyFill="1" applyBorder="1"/>
    <xf numFmtId="1" fontId="7" fillId="0" borderId="0" xfId="0" applyNumberFormat="1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 vertical="center"/>
    </xf>
    <xf numFmtId="0" fontId="3" fillId="0" borderId="0" xfId="0" applyNumberFormat="1" applyFont="1" applyFill="1" applyBorder="1" applyAlignment="1">
      <alignment horizontal="center" vertical="center"/>
    </xf>
    <xf numFmtId="14" fontId="3" fillId="0" borderId="0" xfId="0" applyNumberFormat="1" applyFont="1" applyFill="1" applyBorder="1" applyAlignment="1">
      <alignment horizontal="center" vertical="center"/>
    </xf>
    <xf numFmtId="1" fontId="3" fillId="0" borderId="0" xfId="0" applyNumberFormat="1" applyFont="1" applyFill="1" applyBorder="1" applyAlignment="1">
      <alignment horizontal="center" vertical="center"/>
    </xf>
    <xf numFmtId="44" fontId="3" fillId="0" borderId="0" xfId="2" applyFont="1" applyFill="1" applyBorder="1" applyAlignment="1">
      <alignment horizontal="center" vertical="center"/>
    </xf>
  </cellXfs>
  <cellStyles count="6">
    <cellStyle name="Moeda" xfId="2" builtinId="4"/>
    <cellStyle name="Normal" xfId="0" builtinId="0"/>
    <cellStyle name="Normal 2" xfId="1" xr:uid="{D690CDDB-EC3C-4A4F-B15C-B254DDFC08C6}"/>
    <cellStyle name="Normal 3" xfId="3" xr:uid="{D3907406-5A6F-4471-A88C-9A57D055FD29}"/>
    <cellStyle name="Porcentagem" xfId="5" builtinId="5"/>
    <cellStyle name="Porcentagem 2" xfId="4" xr:uid="{5CF50127-FC1C-4ADA-B1C7-C96830F555BF}"/>
  </cellStyles>
  <dxfs count="37">
    <dxf>
      <font>
        <strike val="0"/>
        <outline val="0"/>
        <shadow val="0"/>
        <u val="none"/>
        <vertAlign val="baseline"/>
        <sz val="11"/>
        <color theme="1"/>
        <name val="Trebuchet MS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Trebuchet MS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Trebuchet MS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Trebuchet MS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Trebuchet MS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Trebuchet MS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Trebuchet MS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Trebuchet MS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Trebuchet MS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Trebuchet MS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Trebuchet MS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Trebuchet MS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Trebuchet MS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Trebuchet MS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Trebuchet MS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Trebuchet MS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Trebuchet MS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Trebuchet MS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Trebuchet MS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Trebuchet MS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Trebuchet MS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Trebuchet MS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Trebuchet MS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Trebuchet MS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Trebuchet MS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Trebuchet MS"/>
        <family val="2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Trebuchet MS"/>
        <family val="2"/>
        <scheme val="none"/>
      </font>
      <alignment horizontal="center" vertical="center" textRotation="0" wrapText="0" indent="0" justifyLastLine="0" shrinkToFit="0" readingOrder="0"/>
    </dxf>
    <dxf>
      <font>
        <b/>
        <i val="0"/>
        <color rgb="FF9A0000"/>
      </font>
    </dxf>
    <dxf>
      <font>
        <b/>
        <i val="0"/>
        <color rgb="FF006600"/>
      </font>
    </dxf>
    <dxf>
      <font>
        <b/>
        <i val="0"/>
        <color rgb="FFA29E00"/>
      </font>
    </dxf>
    <dxf>
      <fill>
        <patternFill patternType="solid">
          <fgColor theme="0" tint="-0.14999847407452621"/>
          <bgColor theme="0" tint="-0.14999847407452621"/>
        </patternFill>
      </fill>
    </dxf>
    <dxf>
      <fill>
        <patternFill patternType="solid">
          <fgColor theme="0" tint="-0.14999847407452621"/>
          <bgColor theme="0" tint="-0.14999847407452621"/>
        </patternFill>
      </fill>
    </dxf>
    <dxf>
      <font>
        <b/>
        <color theme="0"/>
      </font>
      <fill>
        <patternFill patternType="solid">
          <fgColor theme="5"/>
          <bgColor theme="5"/>
        </patternFill>
      </fill>
    </dxf>
    <dxf>
      <font>
        <b/>
        <color theme="0"/>
      </font>
      <fill>
        <patternFill patternType="solid">
          <fgColor theme="5"/>
          <bgColor theme="5"/>
        </patternFill>
      </fill>
    </dxf>
    <dxf>
      <border>
        <top style="double">
          <color auto="1"/>
        </top>
      </border>
    </dxf>
    <dxf>
      <font>
        <b/>
        <color theme="0"/>
      </font>
      <fill>
        <patternFill patternType="solid">
          <fgColor theme="5"/>
          <bgColor theme="5"/>
        </patternFill>
      </fill>
      <border>
        <bottom style="medium">
          <color theme="1"/>
        </bottom>
      </border>
    </dxf>
    <dxf>
      <font>
        <color theme="1"/>
      </font>
      <border>
        <top style="medium">
          <color theme="1"/>
        </top>
        <bottom style="medium">
          <color theme="1"/>
        </bottom>
      </border>
    </dxf>
  </dxfs>
  <tableStyles count="1" defaultTableStyle="TableStyleMedium2" defaultPivotStyle="PivotStyleLight16">
    <tableStyle name="mEstilo" pivot="0" count="7" xr9:uid="{4C049267-E560-4356-BD40-5F18CE7DDFCC}">
      <tableStyleElement type="wholeTable" dxfId="36"/>
      <tableStyleElement type="headerRow" dxfId="35"/>
      <tableStyleElement type="totalRow" dxfId="34"/>
      <tableStyleElement type="firstColumn" dxfId="33"/>
      <tableStyleElement type="lastColumn" dxfId="32"/>
      <tableStyleElement type="firstRowStripe" dxfId="31"/>
      <tableStyleElement type="firstColumnStripe" dxfId="30"/>
    </tableStyle>
  </tableStyles>
  <colors>
    <mruColors>
      <color rgb="FF9A0000"/>
      <color rgb="FF008000"/>
      <color rgb="FF33CC33"/>
      <color rgb="FF00CC00"/>
      <color rgb="FFFF3300"/>
      <color rgb="FFA29E00"/>
      <color rgb="FFFFB8A7"/>
      <color rgb="FFFF6743"/>
      <color rgb="FFAAFF8F"/>
      <color rgb="FF66FF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17/10/relationships/person" Target="persons/perso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.xml"/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.xml"/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bg2">
              <a:lumMod val="75000"/>
            </a:schemeClr>
          </a:solidFill>
          <a:ln>
            <a:noFill/>
          </a:ln>
          <a:effectLst>
            <a:outerShdw blurRad="50800" dist="38100" dir="8100000" algn="tr" rotWithShape="0">
              <a:prstClr val="black">
                <a:alpha val="4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07276751"/>
        <c:axId val="150972975"/>
      </c:barChart>
      <c:catAx>
        <c:axId val="19072767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0972975"/>
        <c:crosses val="autoZero"/>
        <c:auto val="1"/>
        <c:lblAlgn val="ctr"/>
        <c:lblOffset val="100"/>
        <c:noMultiLvlLbl val="0"/>
      </c:catAx>
      <c:valAx>
        <c:axId val="150972975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90727675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'Análise Geral'!$D$9</c:f>
              <c:strCache>
                <c:ptCount val="1"/>
                <c:pt idx="0">
                  <c:v>2020</c:v>
                </c:pt>
              </c:strCache>
            </c:strRef>
          </c:tx>
          <c:spPr>
            <a:ln w="22225" cap="rnd">
              <a:solidFill>
                <a:schemeClr val="tx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tx1">
                  <a:lumMod val="50000"/>
                  <a:lumOff val="50000"/>
                </a:schemeClr>
              </a:solidFill>
              <a:ln w="9525">
                <a:solidFill>
                  <a:schemeClr val="tx1">
                    <a:lumMod val="50000"/>
                    <a:lumOff val="50000"/>
                  </a:schemeClr>
                </a:solidFill>
              </a:ln>
              <a:effectLst/>
            </c:spPr>
          </c:marker>
          <c:cat>
            <c:strRef>
              <c:f>'Análise Geral'!$E$8:$P$8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'Análise Geral'!$E$9:$P$9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</c:v>
                </c:pt>
                <c:pt idx="4">
                  <c:v>10</c:v>
                </c:pt>
                <c:pt idx="5">
                  <c:v>14.999999999999993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BD95-47D6-A49F-2EEB5AB85100}"/>
            </c:ext>
          </c:extLst>
        </c:ser>
        <c:ser>
          <c:idx val="1"/>
          <c:order val="1"/>
          <c:tx>
            <c:strRef>
              <c:f>'Análise Geral'!$D$10</c:f>
              <c:strCache>
                <c:ptCount val="1"/>
                <c:pt idx="0">
                  <c:v>2019</c:v>
                </c:pt>
              </c:strCache>
            </c:strRef>
          </c:tx>
          <c:spPr>
            <a:ln w="2222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'Análise Geral'!$E$8:$P$8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'Análise Geral'!$E$10:$P$10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BD95-47D6-A49F-2EEB5AB851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91225200"/>
        <c:axId val="578705792"/>
      </c:lineChart>
      <c:catAx>
        <c:axId val="10912252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78705792"/>
        <c:crosses val="autoZero"/>
        <c:auto val="1"/>
        <c:lblAlgn val="ctr"/>
        <c:lblOffset val="100"/>
        <c:noMultiLvlLbl val="0"/>
      </c:catAx>
      <c:valAx>
        <c:axId val="578705792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0912252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1"/>
          <c:order val="0"/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val>
            <c:numRef>
              <c:f>'Análise Geral'!$AA$3</c:f>
              <c:numCache>
                <c:formatCode>0%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466-4830-B7AD-7E85AEFBA91A}"/>
            </c:ext>
          </c:extLst>
        </c:ser>
        <c:ser>
          <c:idx val="0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'Análise Geral'!$Z$3</c:f>
              <c:numCache>
                <c:formatCode>0.00%</c:formatCode>
                <c:ptCount val="1"/>
                <c:pt idx="0">
                  <c:v>0.48148148148148073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466-4830-B7AD-7E85AEFBA9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1142935615"/>
        <c:axId val="1145574063"/>
      </c:barChart>
      <c:catAx>
        <c:axId val="1142935615"/>
        <c:scaling>
          <c:orientation val="minMax"/>
        </c:scaling>
        <c:delete val="1"/>
        <c:axPos val="l"/>
        <c:majorTickMark val="none"/>
        <c:minorTickMark val="none"/>
        <c:tickLblPos val="nextTo"/>
        <c:crossAx val="1145574063"/>
        <c:crosses val="autoZero"/>
        <c:auto val="1"/>
        <c:lblAlgn val="ctr"/>
        <c:lblOffset val="100"/>
        <c:noMultiLvlLbl val="0"/>
      </c:catAx>
      <c:valAx>
        <c:axId val="1145574063"/>
        <c:scaling>
          <c:orientation val="minMax"/>
          <c:max val="1"/>
          <c:min val="0"/>
        </c:scaling>
        <c:delete val="1"/>
        <c:axPos val="b"/>
        <c:numFmt formatCode="0%" sourceLinked="1"/>
        <c:majorTickMark val="none"/>
        <c:minorTickMark val="none"/>
        <c:tickLblPos val="nextTo"/>
        <c:crossAx val="1142935615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1"/>
          <c:order val="0"/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val>
            <c:numRef>
              <c:f>'Análise Geral'!$AA$4</c:f>
              <c:numCache>
                <c:formatCode>0%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E0F-4D32-933D-8F80D7CC78F0}"/>
            </c:ext>
          </c:extLst>
        </c:ser>
        <c:ser>
          <c:idx val="0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'Análise Geral'!$Z$4</c:f>
              <c:numCache>
                <c:formatCode>0.00%</c:formatCode>
                <c:ptCount val="1"/>
                <c:pt idx="0">
                  <c:v>7.4074074074073973E-2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E0F-4D32-933D-8F80D7CC78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1142935615"/>
        <c:axId val="1145574063"/>
      </c:barChart>
      <c:catAx>
        <c:axId val="1142935615"/>
        <c:scaling>
          <c:orientation val="minMax"/>
        </c:scaling>
        <c:delete val="1"/>
        <c:axPos val="l"/>
        <c:majorTickMark val="none"/>
        <c:minorTickMark val="none"/>
        <c:tickLblPos val="nextTo"/>
        <c:crossAx val="1145574063"/>
        <c:crosses val="autoZero"/>
        <c:auto val="1"/>
        <c:lblAlgn val="ctr"/>
        <c:lblOffset val="100"/>
        <c:noMultiLvlLbl val="0"/>
      </c:catAx>
      <c:valAx>
        <c:axId val="1145574063"/>
        <c:scaling>
          <c:orientation val="minMax"/>
          <c:max val="1"/>
          <c:min val="0"/>
        </c:scaling>
        <c:delete val="1"/>
        <c:axPos val="b"/>
        <c:numFmt formatCode="0%" sourceLinked="1"/>
        <c:majorTickMark val="none"/>
        <c:minorTickMark val="none"/>
        <c:tickLblPos val="nextTo"/>
        <c:crossAx val="1142935615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1"/>
          <c:order val="0"/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val>
            <c:numRef>
              <c:f>'Análise Geral'!$AA$5</c:f>
              <c:numCache>
                <c:formatCode>0%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68-4EE8-88DF-B853B7013086}"/>
            </c:ext>
          </c:extLst>
        </c:ser>
        <c:ser>
          <c:idx val="0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'Análise Geral'!$Z$5</c:f>
              <c:numCache>
                <c:formatCode>0.00%</c:formatCode>
                <c:ptCount val="1"/>
                <c:pt idx="0">
                  <c:v>0.37037037037036991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868-4EE8-88DF-B853B7013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1142935615"/>
        <c:axId val="1145574063"/>
      </c:barChart>
      <c:catAx>
        <c:axId val="1142935615"/>
        <c:scaling>
          <c:orientation val="minMax"/>
        </c:scaling>
        <c:delete val="1"/>
        <c:axPos val="l"/>
        <c:majorTickMark val="none"/>
        <c:minorTickMark val="none"/>
        <c:tickLblPos val="nextTo"/>
        <c:crossAx val="1145574063"/>
        <c:crosses val="autoZero"/>
        <c:auto val="1"/>
        <c:lblAlgn val="ctr"/>
        <c:lblOffset val="100"/>
        <c:noMultiLvlLbl val="0"/>
      </c:catAx>
      <c:valAx>
        <c:axId val="1145574063"/>
        <c:scaling>
          <c:orientation val="minMax"/>
          <c:max val="1"/>
          <c:min val="0"/>
        </c:scaling>
        <c:delete val="1"/>
        <c:axPos val="b"/>
        <c:numFmt formatCode="0%" sourceLinked="1"/>
        <c:majorTickMark val="none"/>
        <c:minorTickMark val="none"/>
        <c:tickLblPos val="nextTo"/>
        <c:crossAx val="1142935615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1"/>
          <c:order val="0"/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val>
            <c:numRef>
              <c:f>'Análise Geral'!$AA$6</c:f>
              <c:numCache>
                <c:formatCode>0%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CBD-4C37-85C0-D0A9D63B8B1A}"/>
            </c:ext>
          </c:extLst>
        </c:ser>
        <c:ser>
          <c:idx val="0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'Análise Geral'!$Z$6</c:f>
              <c:numCache>
                <c:formatCode>0.00%</c:formatCode>
                <c:ptCount val="1"/>
                <c:pt idx="0">
                  <c:v>7.407407407407543E-2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CBD-4C37-85C0-D0A9D63B8B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1142935615"/>
        <c:axId val="1145574063"/>
      </c:barChart>
      <c:catAx>
        <c:axId val="1142935615"/>
        <c:scaling>
          <c:orientation val="minMax"/>
        </c:scaling>
        <c:delete val="1"/>
        <c:axPos val="l"/>
        <c:majorTickMark val="none"/>
        <c:minorTickMark val="none"/>
        <c:tickLblPos val="nextTo"/>
        <c:crossAx val="1145574063"/>
        <c:crosses val="autoZero"/>
        <c:auto val="1"/>
        <c:lblAlgn val="ctr"/>
        <c:lblOffset val="100"/>
        <c:noMultiLvlLbl val="0"/>
      </c:catAx>
      <c:valAx>
        <c:axId val="1145574063"/>
        <c:scaling>
          <c:orientation val="minMax"/>
          <c:max val="1"/>
          <c:min val="0"/>
        </c:scaling>
        <c:delete val="1"/>
        <c:axPos val="b"/>
        <c:numFmt formatCode="0%" sourceLinked="1"/>
        <c:majorTickMark val="none"/>
        <c:minorTickMark val="none"/>
        <c:tickLblPos val="nextTo"/>
        <c:crossAx val="1142935615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7509594984385805"/>
          <c:y val="0.10584415830406897"/>
          <c:w val="0.68412317829640668"/>
          <c:h val="0.78831168339186208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'Análise Geral'!$X$8:$X$11</c:f>
              <c:strCache>
                <c:ptCount val="4"/>
                <c:pt idx="0">
                  <c:v>Concluído</c:v>
                </c:pt>
                <c:pt idx="1">
                  <c:v>Pendente</c:v>
                </c:pt>
                <c:pt idx="2">
                  <c:v>Outros</c:v>
                </c:pt>
                <c:pt idx="3">
                  <c:v>Em andamento</c:v>
                </c:pt>
              </c:strCache>
            </c:strRef>
          </c:cat>
          <c:val>
            <c:numRef>
              <c:f>'Análise Geral'!$Y$8:$Y$11</c:f>
              <c:numCache>
                <c:formatCode>0</c:formatCode>
                <c:ptCount val="4"/>
                <c:pt idx="0">
                  <c:v>12.999999999999996</c:v>
                </c:pt>
                <c:pt idx="1">
                  <c:v>10</c:v>
                </c:pt>
                <c:pt idx="2">
                  <c:v>2.0000000000000391</c:v>
                </c:pt>
                <c:pt idx="3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D01-4695-BC2F-CC1BB6841E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62056495"/>
        <c:axId val="1224387343"/>
      </c:barChart>
      <c:catAx>
        <c:axId val="62056495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24387343"/>
        <c:crosses val="autoZero"/>
        <c:auto val="1"/>
        <c:lblAlgn val="ctr"/>
        <c:lblOffset val="100"/>
        <c:noMultiLvlLbl val="0"/>
      </c:catAx>
      <c:valAx>
        <c:axId val="1224387343"/>
        <c:scaling>
          <c:orientation val="minMax"/>
        </c:scaling>
        <c:delete val="1"/>
        <c:axPos val="t"/>
        <c:numFmt formatCode="0" sourceLinked="1"/>
        <c:majorTickMark val="out"/>
        <c:minorTickMark val="none"/>
        <c:tickLblPos val="nextTo"/>
        <c:crossAx val="6205649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5555555555555E-2"/>
          <c:y val="0.18352050256013078"/>
          <c:w val="0.93888888888888888"/>
          <c:h val="0.68388738292959284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gradFill flip="none" rotWithShape="1">
                <a:gsLst>
                  <a:gs pos="0">
                    <a:schemeClr val="bg2">
                      <a:lumMod val="25000"/>
                      <a:shade val="30000"/>
                      <a:satMod val="115000"/>
                    </a:schemeClr>
                  </a:gs>
                  <a:gs pos="50000">
                    <a:schemeClr val="bg2">
                      <a:lumMod val="25000"/>
                      <a:shade val="67500"/>
                      <a:satMod val="115000"/>
                    </a:schemeClr>
                  </a:gs>
                  <a:gs pos="100000">
                    <a:schemeClr val="bg2">
                      <a:lumMod val="25000"/>
                      <a:shade val="100000"/>
                      <a:satMod val="115000"/>
                    </a:schemeClr>
                  </a:gs>
                </a:gsLst>
                <a:lin ang="2700000" scaled="1"/>
                <a:tileRect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22C6-442D-A476-B7E52BB6EA19}"/>
              </c:ext>
            </c:extLst>
          </c:dPt>
          <c:dPt>
            <c:idx val="1"/>
            <c:invertIfNegative val="0"/>
            <c:bubble3D val="0"/>
            <c:spPr>
              <a:gradFill flip="none" rotWithShape="1">
                <a:gsLst>
                  <a:gs pos="0">
                    <a:srgbClr val="33CC33">
                      <a:shade val="30000"/>
                      <a:satMod val="115000"/>
                    </a:srgbClr>
                  </a:gs>
                  <a:gs pos="50000">
                    <a:srgbClr val="33CC33">
                      <a:shade val="67500"/>
                      <a:satMod val="115000"/>
                    </a:srgbClr>
                  </a:gs>
                  <a:gs pos="100000">
                    <a:srgbClr val="33CC33">
                      <a:shade val="100000"/>
                      <a:satMod val="115000"/>
                    </a:srgbClr>
                  </a:gs>
                </a:gsLst>
                <a:path path="circle">
                  <a:fillToRect t="100000" r="100000"/>
                </a:path>
                <a:tileRect l="-100000" b="-10000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2C6-442D-A476-B7E52BB6EA19}"/>
              </c:ext>
            </c:extLst>
          </c:dPt>
          <c:dPt>
            <c:idx val="2"/>
            <c:invertIfNegative val="0"/>
            <c:bubble3D val="0"/>
            <c:spPr>
              <a:gradFill flip="none" rotWithShape="1">
                <a:gsLst>
                  <a:gs pos="0">
                    <a:srgbClr val="9A0000">
                      <a:shade val="30000"/>
                      <a:satMod val="115000"/>
                    </a:srgbClr>
                  </a:gs>
                  <a:gs pos="50000">
                    <a:srgbClr val="9A0000">
                      <a:shade val="67500"/>
                      <a:satMod val="115000"/>
                    </a:srgbClr>
                  </a:gs>
                  <a:gs pos="100000">
                    <a:srgbClr val="9A0000">
                      <a:shade val="100000"/>
                      <a:satMod val="115000"/>
                    </a:srgbClr>
                  </a:gs>
                </a:gsLst>
                <a:lin ang="2700000" scaled="1"/>
                <a:tileRect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22C6-442D-A476-B7E52BB6EA1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'Análise Geral'!$AG$1:$AI$1</c:f>
              <c:strCache>
                <c:ptCount val="3"/>
                <c:pt idx="0">
                  <c:v>RC Recebidas</c:v>
                </c:pt>
                <c:pt idx="1">
                  <c:v>Atendidas</c:v>
                </c:pt>
                <c:pt idx="2">
                  <c:v>Não Atendidas</c:v>
                </c:pt>
              </c:strCache>
            </c:strRef>
          </c:cat>
          <c:val>
            <c:numRef>
              <c:f>'Análise Geral'!$AG$2:$AI$2</c:f>
              <c:numCache>
                <c:formatCode>0</c:formatCode>
                <c:ptCount val="3"/>
                <c:pt idx="0">
                  <c:v>27.000000000000036</c:v>
                </c:pt>
                <c:pt idx="1">
                  <c:v>17.000000000000036</c:v>
                </c:pt>
                <c:pt idx="2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2C6-442D-A476-B7E52BB6EA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26653216"/>
        <c:axId val="1370365264"/>
      </c:barChart>
      <c:catAx>
        <c:axId val="15266532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70365264"/>
        <c:crosses val="autoZero"/>
        <c:auto val="1"/>
        <c:lblAlgn val="ctr"/>
        <c:lblOffset val="100"/>
        <c:noMultiLvlLbl val="0"/>
      </c:catAx>
      <c:valAx>
        <c:axId val="1370365264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5266532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3.0555555555555555E-2"/>
          <c:y val="0.18352050256013078"/>
          <c:w val="0.93888888888888888"/>
          <c:h val="0.68388738292959284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gradFill flip="none" rotWithShape="1">
                <a:gsLst>
                  <a:gs pos="0">
                    <a:schemeClr val="bg2">
                      <a:lumMod val="25000"/>
                      <a:shade val="30000"/>
                      <a:satMod val="115000"/>
                    </a:schemeClr>
                  </a:gs>
                  <a:gs pos="50000">
                    <a:schemeClr val="bg2">
                      <a:lumMod val="25000"/>
                      <a:shade val="67500"/>
                      <a:satMod val="115000"/>
                    </a:schemeClr>
                  </a:gs>
                  <a:gs pos="100000">
                    <a:schemeClr val="bg2">
                      <a:lumMod val="25000"/>
                      <a:shade val="100000"/>
                      <a:satMod val="115000"/>
                    </a:schemeClr>
                  </a:gs>
                </a:gsLst>
                <a:lin ang="2700000" scaled="1"/>
                <a:tileRect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22C6-442D-A476-B7E52BB6EA19}"/>
              </c:ext>
            </c:extLst>
          </c:dPt>
          <c:dPt>
            <c:idx val="1"/>
            <c:invertIfNegative val="0"/>
            <c:bubble3D val="0"/>
            <c:spPr>
              <a:gradFill flip="none" rotWithShape="1">
                <a:gsLst>
                  <a:gs pos="0">
                    <a:srgbClr val="33CC33">
                      <a:shade val="30000"/>
                      <a:satMod val="115000"/>
                    </a:srgbClr>
                  </a:gs>
                  <a:gs pos="50000">
                    <a:srgbClr val="33CC33">
                      <a:shade val="67500"/>
                      <a:satMod val="115000"/>
                    </a:srgbClr>
                  </a:gs>
                  <a:gs pos="100000">
                    <a:srgbClr val="33CC33">
                      <a:shade val="100000"/>
                      <a:satMod val="115000"/>
                    </a:srgbClr>
                  </a:gs>
                </a:gsLst>
                <a:path path="circle">
                  <a:fillToRect t="100000" r="100000"/>
                </a:path>
                <a:tileRect l="-100000" b="-10000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2C6-442D-A476-B7E52BB6EA19}"/>
              </c:ext>
            </c:extLst>
          </c:dPt>
          <c:dPt>
            <c:idx val="2"/>
            <c:invertIfNegative val="0"/>
            <c:bubble3D val="0"/>
            <c:spPr>
              <a:gradFill flip="none" rotWithShape="1">
                <a:gsLst>
                  <a:gs pos="0">
                    <a:srgbClr val="9A0000">
                      <a:shade val="30000"/>
                      <a:satMod val="115000"/>
                    </a:srgbClr>
                  </a:gs>
                  <a:gs pos="50000">
                    <a:srgbClr val="9A0000">
                      <a:shade val="67500"/>
                      <a:satMod val="115000"/>
                    </a:srgbClr>
                  </a:gs>
                  <a:gs pos="100000">
                    <a:srgbClr val="9A0000">
                      <a:shade val="100000"/>
                      <a:satMod val="115000"/>
                    </a:srgbClr>
                  </a:gs>
                </a:gsLst>
                <a:lin ang="2700000" scaled="1"/>
                <a:tileRect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22C6-442D-A476-B7E52BB6EA1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'Análise Geral'!$AG$8:$AI$8</c:f>
              <c:strCache>
                <c:ptCount val="3"/>
                <c:pt idx="0">
                  <c:v>Itens Recebidos</c:v>
                </c:pt>
                <c:pt idx="1">
                  <c:v>Atentidos</c:v>
                </c:pt>
                <c:pt idx="2">
                  <c:v>Não Atendidos</c:v>
                </c:pt>
              </c:strCache>
            </c:strRef>
          </c:cat>
          <c:val>
            <c:numRef>
              <c:f>'Análise Geral'!$AG$9:$AI$9</c:f>
              <c:numCache>
                <c:formatCode>General</c:formatCode>
                <c:ptCount val="3"/>
                <c:pt idx="0">
                  <c:v>91</c:v>
                </c:pt>
                <c:pt idx="1">
                  <c:v>76</c:v>
                </c:pt>
                <c:pt idx="2">
                  <c:v>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2C6-442D-A476-B7E52BB6EA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26653216"/>
        <c:axId val="1370365264"/>
      </c:barChart>
      <c:catAx>
        <c:axId val="15266532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70365264"/>
        <c:crosses val="autoZero"/>
        <c:auto val="1"/>
        <c:lblAlgn val="ctr"/>
        <c:lblOffset val="100"/>
        <c:noMultiLvlLbl val="0"/>
      </c:catAx>
      <c:valAx>
        <c:axId val="1370365264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5266532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bg2">
              <a:lumMod val="75000"/>
            </a:schemeClr>
          </a:solidFill>
          <a:ln>
            <a:noFill/>
          </a:ln>
          <a:effectLst>
            <a:outerShdw blurRad="50800" dist="38100" dir="8100000" algn="tr" rotWithShape="0">
              <a:prstClr val="black">
                <a:alpha val="4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07276751"/>
        <c:axId val="150972975"/>
      </c:barChart>
      <c:catAx>
        <c:axId val="19072767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0972975"/>
        <c:crosses val="autoZero"/>
        <c:auto val="1"/>
        <c:lblAlgn val="ctr"/>
        <c:lblOffset val="100"/>
        <c:noMultiLvlLbl val="0"/>
      </c:catAx>
      <c:valAx>
        <c:axId val="150972975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90727675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'Análise Comprador'!$C$9</c:f>
              <c:strCache>
                <c:ptCount val="1"/>
                <c:pt idx="0">
                  <c:v>2020</c:v>
                </c:pt>
              </c:strCache>
            </c:strRef>
          </c:tx>
          <c:spPr>
            <a:ln w="22225" cap="rnd">
              <a:solidFill>
                <a:schemeClr val="tx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tx1">
                  <a:lumMod val="50000"/>
                  <a:lumOff val="50000"/>
                </a:schemeClr>
              </a:solidFill>
              <a:ln w="9525">
                <a:solidFill>
                  <a:schemeClr val="tx1">
                    <a:lumMod val="50000"/>
                    <a:lumOff val="50000"/>
                  </a:schemeClr>
                </a:solidFill>
              </a:ln>
              <a:effectLst/>
            </c:spPr>
          </c:marker>
          <c:cat>
            <c:strRef>
              <c:f>'Análise Comprador'!$D$8:$O$8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'Análise Comprador'!$D$9:$O$9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</c:v>
                </c:pt>
                <c:pt idx="5">
                  <c:v>1.9999999999999996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A815-4307-A9A0-561296B429CE}"/>
            </c:ext>
          </c:extLst>
        </c:ser>
        <c:ser>
          <c:idx val="1"/>
          <c:order val="1"/>
          <c:tx>
            <c:strRef>
              <c:f>'Análise Comprador'!$C$10</c:f>
              <c:strCache>
                <c:ptCount val="1"/>
                <c:pt idx="0">
                  <c:v>2019</c:v>
                </c:pt>
              </c:strCache>
            </c:strRef>
          </c:tx>
          <c:spPr>
            <a:ln w="2222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'Análise Comprador'!$D$8:$O$8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'Análise Comprador'!$D$10:$O$10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A815-4307-A9A0-561296B429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91225200"/>
        <c:axId val="578705792"/>
      </c:lineChart>
      <c:catAx>
        <c:axId val="10912252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78705792"/>
        <c:crosses val="autoZero"/>
        <c:auto val="1"/>
        <c:lblAlgn val="ctr"/>
        <c:lblOffset val="100"/>
        <c:noMultiLvlLbl val="0"/>
      </c:catAx>
      <c:valAx>
        <c:axId val="578705792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0912252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1"/>
          <c:order val="0"/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val>
            <c:numRef>
              <c:f>'Análise Comprador'!$Z$3</c:f>
              <c:numCache>
                <c:formatCode>0%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8-47C9-8CBE-4C38C68A298B}"/>
            </c:ext>
          </c:extLst>
        </c:ser>
        <c:ser>
          <c:idx val="0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'Análise Comprador'!$Y$3</c:f>
              <c:numCache>
                <c:formatCode>0.00%</c:formatCode>
                <c:ptCount val="1"/>
                <c:pt idx="0">
                  <c:v>0.49999999999999994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8-47C9-8CBE-4C38C68A29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1142935615"/>
        <c:axId val="1145574063"/>
      </c:barChart>
      <c:catAx>
        <c:axId val="1142935615"/>
        <c:scaling>
          <c:orientation val="minMax"/>
        </c:scaling>
        <c:delete val="1"/>
        <c:axPos val="l"/>
        <c:majorTickMark val="none"/>
        <c:minorTickMark val="none"/>
        <c:tickLblPos val="nextTo"/>
        <c:crossAx val="1145574063"/>
        <c:crosses val="autoZero"/>
        <c:auto val="1"/>
        <c:lblAlgn val="ctr"/>
        <c:lblOffset val="100"/>
        <c:noMultiLvlLbl val="0"/>
      </c:catAx>
      <c:valAx>
        <c:axId val="1145574063"/>
        <c:scaling>
          <c:orientation val="minMax"/>
          <c:max val="1"/>
          <c:min val="0"/>
        </c:scaling>
        <c:delete val="1"/>
        <c:axPos val="b"/>
        <c:numFmt formatCode="0%" sourceLinked="1"/>
        <c:majorTickMark val="none"/>
        <c:minorTickMark val="none"/>
        <c:tickLblPos val="nextTo"/>
        <c:crossAx val="1142935615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1"/>
          <c:order val="0"/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val>
            <c:numRef>
              <c:f>'Análise Comprador'!$Z$4</c:f>
              <c:numCache>
                <c:formatCode>0%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E99-4D5F-ABAA-271FDF233592}"/>
            </c:ext>
          </c:extLst>
        </c:ser>
        <c:ser>
          <c:idx val="0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'Análise Comprador'!$Y$4</c:f>
              <c:numCache>
                <c:formatCode>0.00%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E99-4D5F-ABAA-271FDF2335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1142935615"/>
        <c:axId val="1145574063"/>
      </c:barChart>
      <c:catAx>
        <c:axId val="1142935615"/>
        <c:scaling>
          <c:orientation val="minMax"/>
        </c:scaling>
        <c:delete val="1"/>
        <c:axPos val="l"/>
        <c:majorTickMark val="none"/>
        <c:minorTickMark val="none"/>
        <c:tickLblPos val="nextTo"/>
        <c:crossAx val="1145574063"/>
        <c:crosses val="autoZero"/>
        <c:auto val="1"/>
        <c:lblAlgn val="ctr"/>
        <c:lblOffset val="100"/>
        <c:noMultiLvlLbl val="0"/>
      </c:catAx>
      <c:valAx>
        <c:axId val="1145574063"/>
        <c:scaling>
          <c:orientation val="minMax"/>
          <c:max val="1"/>
          <c:min val="0"/>
        </c:scaling>
        <c:delete val="1"/>
        <c:axPos val="b"/>
        <c:numFmt formatCode="0%" sourceLinked="1"/>
        <c:majorTickMark val="none"/>
        <c:minorTickMark val="none"/>
        <c:tickLblPos val="nextTo"/>
        <c:crossAx val="1142935615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1"/>
          <c:order val="0"/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val>
            <c:numRef>
              <c:f>'Análise Comprador'!$Z$5</c:f>
              <c:numCache>
                <c:formatCode>0%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34E-4366-9C25-818966AA62F0}"/>
            </c:ext>
          </c:extLst>
        </c:ser>
        <c:ser>
          <c:idx val="0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'Análise Comprador'!$Y$5</c:f>
              <c:numCache>
                <c:formatCode>0.00%</c:formatCode>
                <c:ptCount val="1"/>
                <c:pt idx="0">
                  <c:v>0.25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34E-4366-9C25-818966AA62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1142935615"/>
        <c:axId val="1145574063"/>
      </c:barChart>
      <c:catAx>
        <c:axId val="1142935615"/>
        <c:scaling>
          <c:orientation val="minMax"/>
        </c:scaling>
        <c:delete val="1"/>
        <c:axPos val="l"/>
        <c:majorTickMark val="none"/>
        <c:minorTickMark val="none"/>
        <c:tickLblPos val="nextTo"/>
        <c:crossAx val="1145574063"/>
        <c:crosses val="autoZero"/>
        <c:auto val="1"/>
        <c:lblAlgn val="ctr"/>
        <c:lblOffset val="100"/>
        <c:noMultiLvlLbl val="0"/>
      </c:catAx>
      <c:valAx>
        <c:axId val="1145574063"/>
        <c:scaling>
          <c:orientation val="minMax"/>
          <c:max val="1"/>
          <c:min val="0"/>
        </c:scaling>
        <c:delete val="1"/>
        <c:axPos val="b"/>
        <c:numFmt formatCode="0%" sourceLinked="1"/>
        <c:majorTickMark val="none"/>
        <c:minorTickMark val="none"/>
        <c:tickLblPos val="nextTo"/>
        <c:crossAx val="1142935615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tx1">
                  <a:lumMod val="50000"/>
                  <a:lumOff val="5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BD86-4252-B6CA-3C9BF949E623}"/>
              </c:ext>
            </c:extLst>
          </c:dPt>
          <c:val>
            <c:numRef>
              <c:f>'Análise Comprador'!$Z$6</c:f>
              <c:numCache>
                <c:formatCode>0%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79B-41C5-968B-D771CE11BE76}"/>
            </c:ext>
          </c:extLst>
        </c:ser>
        <c:ser>
          <c:idx val="0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'Análise Comprador'!$Y$6</c:f>
              <c:numCache>
                <c:formatCode>0.00%</c:formatCode>
                <c:ptCount val="1"/>
                <c:pt idx="0">
                  <c:v>0.25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9B-41C5-968B-D771CE11BE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1142935615"/>
        <c:axId val="1145574063"/>
      </c:barChart>
      <c:catAx>
        <c:axId val="1142935615"/>
        <c:scaling>
          <c:orientation val="minMax"/>
        </c:scaling>
        <c:delete val="1"/>
        <c:axPos val="l"/>
        <c:majorTickMark val="none"/>
        <c:minorTickMark val="none"/>
        <c:tickLblPos val="nextTo"/>
        <c:crossAx val="1145574063"/>
        <c:crosses val="autoZero"/>
        <c:auto val="1"/>
        <c:lblAlgn val="ctr"/>
        <c:lblOffset val="100"/>
        <c:noMultiLvlLbl val="0"/>
      </c:catAx>
      <c:valAx>
        <c:axId val="1145574063"/>
        <c:scaling>
          <c:orientation val="minMax"/>
          <c:max val="1"/>
          <c:min val="0"/>
        </c:scaling>
        <c:delete val="1"/>
        <c:axPos val="b"/>
        <c:numFmt formatCode="0%" sourceLinked="1"/>
        <c:majorTickMark val="none"/>
        <c:minorTickMark val="none"/>
        <c:tickLblPos val="nextTo"/>
        <c:crossAx val="1142935615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'Análise Comprador'!$W$8:$W$11</c:f>
              <c:strCache>
                <c:ptCount val="4"/>
                <c:pt idx="0">
                  <c:v>Concluído</c:v>
                </c:pt>
                <c:pt idx="1">
                  <c:v>Outros</c:v>
                </c:pt>
                <c:pt idx="2">
                  <c:v>Pendente</c:v>
                </c:pt>
                <c:pt idx="3">
                  <c:v>Em andamento</c:v>
                </c:pt>
              </c:strCache>
            </c:strRef>
          </c:cat>
          <c:val>
            <c:numRef>
              <c:f>'Análise Comprador'!$X$8:$X$11</c:f>
              <c:numCache>
                <c:formatCode>0</c:formatCode>
                <c:ptCount val="4"/>
                <c:pt idx="0">
                  <c:v>1.9999999999999996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387-4B98-98C8-8943D1EAC2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62056495"/>
        <c:axId val="1224387343"/>
      </c:barChart>
      <c:catAx>
        <c:axId val="62056495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24387343"/>
        <c:crosses val="autoZero"/>
        <c:auto val="1"/>
        <c:lblAlgn val="ctr"/>
        <c:lblOffset val="100"/>
        <c:noMultiLvlLbl val="0"/>
      </c:catAx>
      <c:valAx>
        <c:axId val="1224387343"/>
        <c:scaling>
          <c:orientation val="minMax"/>
        </c:scaling>
        <c:delete val="1"/>
        <c:axPos val="t"/>
        <c:numFmt formatCode="0" sourceLinked="1"/>
        <c:majorTickMark val="out"/>
        <c:minorTickMark val="none"/>
        <c:tickLblPos val="nextTo"/>
        <c:crossAx val="6205649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5555555555555E-2"/>
          <c:y val="0.13980465556559526"/>
          <c:w val="0.93888888888888888"/>
          <c:h val="0.72760322992412829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gradFill flip="none" rotWithShape="1">
                <a:gsLst>
                  <a:gs pos="0">
                    <a:schemeClr val="bg2">
                      <a:lumMod val="25000"/>
                      <a:shade val="30000"/>
                      <a:satMod val="115000"/>
                    </a:schemeClr>
                  </a:gs>
                  <a:gs pos="50000">
                    <a:schemeClr val="bg2">
                      <a:lumMod val="25000"/>
                      <a:shade val="67500"/>
                      <a:satMod val="115000"/>
                    </a:schemeClr>
                  </a:gs>
                  <a:gs pos="100000">
                    <a:schemeClr val="bg2">
                      <a:lumMod val="25000"/>
                      <a:shade val="100000"/>
                      <a:satMod val="115000"/>
                    </a:schemeClr>
                  </a:gs>
                </a:gsLst>
                <a:lin ang="2700000" scaled="1"/>
                <a:tileRect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6442-4846-824A-D15814FA314E}"/>
              </c:ext>
            </c:extLst>
          </c:dPt>
          <c:dPt>
            <c:idx val="1"/>
            <c:invertIfNegative val="0"/>
            <c:bubble3D val="0"/>
            <c:spPr>
              <a:gradFill flip="none" rotWithShape="1">
                <a:gsLst>
                  <a:gs pos="0">
                    <a:srgbClr val="33CC33">
                      <a:shade val="30000"/>
                      <a:satMod val="115000"/>
                    </a:srgbClr>
                  </a:gs>
                  <a:gs pos="50000">
                    <a:srgbClr val="33CC33">
                      <a:shade val="67500"/>
                      <a:satMod val="115000"/>
                    </a:srgbClr>
                  </a:gs>
                  <a:gs pos="100000">
                    <a:srgbClr val="33CC33">
                      <a:shade val="100000"/>
                      <a:satMod val="115000"/>
                    </a:srgbClr>
                  </a:gs>
                </a:gsLst>
                <a:path path="circle">
                  <a:fillToRect t="100000" r="100000"/>
                </a:path>
                <a:tileRect l="-100000" b="-10000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6442-4846-824A-D15814FA314E}"/>
              </c:ext>
            </c:extLst>
          </c:dPt>
          <c:dPt>
            <c:idx val="2"/>
            <c:invertIfNegative val="0"/>
            <c:bubble3D val="0"/>
            <c:spPr>
              <a:gradFill flip="none" rotWithShape="1">
                <a:gsLst>
                  <a:gs pos="0">
                    <a:srgbClr val="9A0000">
                      <a:shade val="30000"/>
                      <a:satMod val="115000"/>
                    </a:srgbClr>
                  </a:gs>
                  <a:gs pos="50000">
                    <a:srgbClr val="9A0000">
                      <a:shade val="67500"/>
                      <a:satMod val="115000"/>
                    </a:srgbClr>
                  </a:gs>
                  <a:gs pos="100000">
                    <a:srgbClr val="9A0000">
                      <a:shade val="100000"/>
                      <a:satMod val="115000"/>
                    </a:srgbClr>
                  </a:gs>
                </a:gsLst>
                <a:lin ang="2700000" scaled="1"/>
                <a:tileRect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6442-4846-824A-D15814FA314E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'Análise Comprador'!$AF$1:$AH$1</c:f>
              <c:strCache>
                <c:ptCount val="3"/>
                <c:pt idx="0">
                  <c:v>RC Recebidas</c:v>
                </c:pt>
                <c:pt idx="1">
                  <c:v>Atendidas</c:v>
                </c:pt>
                <c:pt idx="2">
                  <c:v>Não Atendidas</c:v>
                </c:pt>
              </c:strCache>
            </c:strRef>
          </c:cat>
          <c:val>
            <c:numRef>
              <c:f>'Análise Comprador'!$AF$2:$AH$2</c:f>
              <c:numCache>
                <c:formatCode>0</c:formatCode>
                <c:ptCount val="3"/>
                <c:pt idx="0">
                  <c:v>3.9999999999999996</c:v>
                </c:pt>
                <c:pt idx="1">
                  <c:v>2.9999999999999996</c:v>
                </c:pt>
                <c:pt idx="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442-4846-824A-D15814FA31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26653216"/>
        <c:axId val="1370365264"/>
      </c:barChart>
      <c:catAx>
        <c:axId val="15266532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70365264"/>
        <c:crosses val="autoZero"/>
        <c:auto val="1"/>
        <c:lblAlgn val="ctr"/>
        <c:lblOffset val="100"/>
        <c:noMultiLvlLbl val="0"/>
      </c:catAx>
      <c:valAx>
        <c:axId val="1370365264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5266532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3.0555555555555555E-2"/>
          <c:y val="0.18352050256013078"/>
          <c:w val="0.93888888888888888"/>
          <c:h val="0.68388738292959284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gradFill flip="none" rotWithShape="1">
                <a:gsLst>
                  <a:gs pos="0">
                    <a:schemeClr val="bg2">
                      <a:lumMod val="25000"/>
                      <a:shade val="30000"/>
                      <a:satMod val="115000"/>
                    </a:schemeClr>
                  </a:gs>
                  <a:gs pos="50000">
                    <a:schemeClr val="bg2">
                      <a:lumMod val="25000"/>
                      <a:shade val="67500"/>
                      <a:satMod val="115000"/>
                    </a:schemeClr>
                  </a:gs>
                  <a:gs pos="100000">
                    <a:schemeClr val="bg2">
                      <a:lumMod val="25000"/>
                      <a:shade val="100000"/>
                      <a:satMod val="115000"/>
                    </a:schemeClr>
                  </a:gs>
                </a:gsLst>
                <a:lin ang="2700000" scaled="1"/>
                <a:tileRect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BB29-4F79-9F25-A021A2AC85E5}"/>
              </c:ext>
            </c:extLst>
          </c:dPt>
          <c:dPt>
            <c:idx val="1"/>
            <c:invertIfNegative val="0"/>
            <c:bubble3D val="0"/>
            <c:spPr>
              <a:gradFill flip="none" rotWithShape="1">
                <a:gsLst>
                  <a:gs pos="0">
                    <a:srgbClr val="33CC33">
                      <a:shade val="30000"/>
                      <a:satMod val="115000"/>
                    </a:srgbClr>
                  </a:gs>
                  <a:gs pos="50000">
                    <a:srgbClr val="33CC33">
                      <a:shade val="67500"/>
                      <a:satMod val="115000"/>
                    </a:srgbClr>
                  </a:gs>
                  <a:gs pos="100000">
                    <a:srgbClr val="33CC33">
                      <a:shade val="100000"/>
                      <a:satMod val="115000"/>
                    </a:srgbClr>
                  </a:gs>
                </a:gsLst>
                <a:path path="circle">
                  <a:fillToRect t="100000" r="100000"/>
                </a:path>
                <a:tileRect l="-100000" b="-10000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BB29-4F79-9F25-A021A2AC85E5}"/>
              </c:ext>
            </c:extLst>
          </c:dPt>
          <c:dPt>
            <c:idx val="2"/>
            <c:invertIfNegative val="0"/>
            <c:bubble3D val="0"/>
            <c:spPr>
              <a:gradFill flip="none" rotWithShape="1">
                <a:gsLst>
                  <a:gs pos="0">
                    <a:srgbClr val="9A0000">
                      <a:shade val="30000"/>
                      <a:satMod val="115000"/>
                    </a:srgbClr>
                  </a:gs>
                  <a:gs pos="50000">
                    <a:srgbClr val="9A0000">
                      <a:shade val="67500"/>
                      <a:satMod val="115000"/>
                    </a:srgbClr>
                  </a:gs>
                  <a:gs pos="100000">
                    <a:srgbClr val="9A0000">
                      <a:shade val="100000"/>
                      <a:satMod val="115000"/>
                    </a:srgbClr>
                  </a:gs>
                </a:gsLst>
                <a:lin ang="2700000" scaled="1"/>
                <a:tileRect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BB29-4F79-9F25-A021A2AC85E5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'Análise Comprador'!$AF$8:$AH$8</c:f>
              <c:strCache>
                <c:ptCount val="3"/>
                <c:pt idx="0">
                  <c:v>Itens Recebidos</c:v>
                </c:pt>
                <c:pt idx="1">
                  <c:v>Atentidos</c:v>
                </c:pt>
                <c:pt idx="2">
                  <c:v>Não Atendidos</c:v>
                </c:pt>
              </c:strCache>
            </c:strRef>
          </c:cat>
          <c:val>
            <c:numRef>
              <c:f>'Análise Comprador'!$AF$9:$AH$9</c:f>
              <c:numCache>
                <c:formatCode>General</c:formatCode>
                <c:ptCount val="3"/>
                <c:pt idx="0">
                  <c:v>13</c:v>
                </c:pt>
                <c:pt idx="1">
                  <c:v>9</c:v>
                </c:pt>
                <c:pt idx="2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B29-4F79-9F25-A021A2AC85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26653216"/>
        <c:axId val="1370365264"/>
      </c:barChart>
      <c:catAx>
        <c:axId val="15266532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70365264"/>
        <c:crosses val="autoZero"/>
        <c:auto val="1"/>
        <c:lblAlgn val="ctr"/>
        <c:lblOffset val="100"/>
        <c:noMultiLvlLbl val="0"/>
      </c:catAx>
      <c:valAx>
        <c:axId val="1370365264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5266532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Drop" dropStyle="combo" dx="22" fmlaLink="'Análise Geral'!$A$1" fmlaRange="'Análise Geral'!$B$7:$B$18" noThreeD="1" sel="1" val="0"/>
</file>

<file path=xl/ctrlProps/ctrlProp2.xml><?xml version="1.0" encoding="utf-8"?>
<formControlPr xmlns="http://schemas.microsoft.com/office/spreadsheetml/2009/9/main" objectType="Drop" dropStyle="combo" dx="22" fmlaLink="'Análise Comprador'!$A$1" fmlaRange="Compradores" noThreeD="1" sel="1" val="0"/>
</file>

<file path=xl/diagrams/colors1.xml><?xml version="1.0" encoding="utf-8"?>
<dgm:colorsDef xmlns:dgm="http://schemas.openxmlformats.org/drawingml/2006/diagram" xmlns:a="http://schemas.openxmlformats.org/drawingml/2006/main" uniqueId="urn:microsoft.com/office/officeart/2005/8/colors/accent0_3">
  <dgm:title val=""/>
  <dgm:desc val=""/>
  <dgm:catLst>
    <dgm:cat type="mainScheme" pri="10300"/>
  </dgm:catLst>
  <dgm:styleLbl name="node0">
    <dgm:fillClrLst meth="repeat">
      <a:schemeClr val="dk2"/>
    </dgm:fillClrLst>
    <dgm:linClrLst meth="repeat">
      <a:schemeClr val="lt2"/>
    </dgm:linClrLst>
    <dgm:effectClrLst/>
    <dgm:txLinClrLst/>
    <dgm:txFillClrLst/>
    <dgm:txEffectClrLst/>
  </dgm:styleLbl>
  <dgm:styleLbl name="alignNode1">
    <dgm:fillClrLst meth="repeat">
      <a:schemeClr val="dk2"/>
    </dgm:fillClrLst>
    <dgm:linClrLst meth="repeat">
      <a:schemeClr val="dk2"/>
    </dgm:linClrLst>
    <dgm:effectClrLst/>
    <dgm:txLinClrLst/>
    <dgm:txFillClrLst/>
    <dgm:txEffectClrLst/>
  </dgm:styleLbl>
  <dgm:styleLbl name="node1">
    <dgm:fillClrLst meth="repeat">
      <a:schemeClr val="dk2"/>
    </dgm:fillClrLst>
    <dgm:linClrLst meth="repeat">
      <a:schemeClr val="lt2"/>
    </dgm:linClrLst>
    <dgm:effectClrLst/>
    <dgm:txLinClrLst/>
    <dgm:txFillClrLst/>
    <dgm:txEffectClrLst/>
  </dgm:styleLbl>
  <dgm:styleLbl name="lnNode1">
    <dgm:fillClrLst meth="repeat">
      <a:schemeClr val="dk2"/>
    </dgm:fillClrLst>
    <dgm:linClrLst meth="repeat">
      <a:schemeClr val="lt2"/>
    </dgm:linClrLst>
    <dgm:effectClrLst/>
    <dgm:txLinClrLst/>
    <dgm:txFillClrLst/>
    <dgm:txEffectClrLst/>
  </dgm:styleLbl>
  <dgm:styleLbl name="vennNode1">
    <dgm:fillClrLst meth="repeat">
      <a:schemeClr val="dk2">
        <a:alpha val="50000"/>
      </a:schemeClr>
    </dgm:fillClrLst>
    <dgm:linClrLst meth="repeat">
      <a:schemeClr val="lt2"/>
    </dgm:linClrLst>
    <dgm:effectClrLst/>
    <dgm:txLinClrLst/>
    <dgm:txFillClrLst/>
    <dgm:txEffectClrLst/>
  </dgm:styleLbl>
  <dgm:styleLbl name="node2">
    <dgm:fillClrLst meth="repeat">
      <a:schemeClr val="dk2"/>
    </dgm:fillClrLst>
    <dgm:linClrLst meth="repeat">
      <a:schemeClr val="lt2"/>
    </dgm:linClrLst>
    <dgm:effectClrLst/>
    <dgm:txLinClrLst/>
    <dgm:txFillClrLst/>
    <dgm:txEffectClrLst/>
  </dgm:styleLbl>
  <dgm:styleLbl name="node3">
    <dgm:fillClrLst meth="repeat">
      <a:schemeClr val="dk2"/>
    </dgm:fillClrLst>
    <dgm:linClrLst meth="repeat">
      <a:schemeClr val="lt2"/>
    </dgm:linClrLst>
    <dgm:effectClrLst/>
    <dgm:txLinClrLst/>
    <dgm:txFillClrLst/>
    <dgm:txEffectClrLst/>
  </dgm:styleLbl>
  <dgm:styleLbl name="node4">
    <dgm:fillClrLst meth="repeat">
      <a:schemeClr val="dk2"/>
    </dgm:fillClrLst>
    <dgm:linClrLst meth="repeat">
      <a:schemeClr val="lt2"/>
    </dgm:linClrLst>
    <dgm:effectClrLst/>
    <dgm:txLinClrLst/>
    <dgm:txFillClrLst/>
    <dgm:txEffectClrLst/>
  </dgm:styleLbl>
  <dgm:styleLbl name="fgImgPlace1">
    <dgm:fillClrLst meth="repeat">
      <a:schemeClr val="dk2">
        <a:tint val="50000"/>
      </a:schemeClr>
    </dgm:fillClrLst>
    <dgm:linClrLst meth="repeat">
      <a:schemeClr val="lt2"/>
    </dgm:linClrLst>
    <dgm:effectClrLst/>
    <dgm:txLinClrLst/>
    <dgm:txFillClrLst meth="repeat">
      <a:schemeClr val="lt2"/>
    </dgm:txFillClrLst>
    <dgm:txEffectClrLst/>
  </dgm:styleLbl>
  <dgm:styleLbl name="alignImgPlace1">
    <dgm:fillClrLst meth="repeat">
      <a:schemeClr val="dk2">
        <a:tint val="50000"/>
      </a:schemeClr>
    </dgm:fillClrLst>
    <dgm:linClrLst meth="repeat">
      <a:schemeClr val="dk2">
        <a:shade val="80000"/>
      </a:schemeClr>
    </dgm:linClrLst>
    <dgm:effectClrLst/>
    <dgm:txLinClrLst/>
    <dgm:txFillClrLst meth="repeat">
      <a:schemeClr val="lt2"/>
    </dgm:txFillClrLst>
    <dgm:txEffectClrLst/>
  </dgm:styleLbl>
  <dgm:styleLbl name="bgImgPlace1">
    <dgm:fillClrLst meth="repeat">
      <a:schemeClr val="dk2">
        <a:tint val="50000"/>
      </a:schemeClr>
    </dgm:fillClrLst>
    <dgm:linClrLst meth="repeat">
      <a:schemeClr val="dk2">
        <a:shade val="80000"/>
      </a:schemeClr>
    </dgm:linClrLst>
    <dgm:effectClrLst/>
    <dgm:txLinClrLst/>
    <dgm:txFillClrLst meth="repeat">
      <a:schemeClr val="lt2"/>
    </dgm:txFillClrLst>
    <dgm:txEffectClrLst/>
  </dgm:styleLbl>
  <dgm:styleLbl name="sibTrans2D1">
    <dgm:fillClrLst meth="repeat">
      <a:schemeClr val="dk2">
        <a:tint val="60000"/>
      </a:schemeClr>
    </dgm:fillClrLst>
    <dgm:linClrLst meth="repeat">
      <a:schemeClr val="dk2">
        <a:tint val="60000"/>
      </a:schemeClr>
    </dgm:linClrLst>
    <dgm:effectClrLst/>
    <dgm:txLinClrLst/>
    <dgm:txFillClrLst/>
    <dgm:txEffectClrLst/>
  </dgm:styleLbl>
  <dgm:styleLbl name="fgSibTrans2D1">
    <dgm:fillClrLst meth="repeat">
      <a:schemeClr val="dk2">
        <a:tint val="60000"/>
      </a:schemeClr>
    </dgm:fillClrLst>
    <dgm:linClrLst meth="repeat">
      <a:schemeClr val="dk2">
        <a:tint val="60000"/>
      </a:schemeClr>
    </dgm:linClrLst>
    <dgm:effectClrLst/>
    <dgm:txLinClrLst/>
    <dgm:txFillClrLst/>
    <dgm:txEffectClrLst/>
  </dgm:styleLbl>
  <dgm:styleLbl name="bgSibTrans2D1">
    <dgm:fillClrLst meth="repeat">
      <a:schemeClr val="dk2">
        <a:tint val="60000"/>
      </a:schemeClr>
    </dgm:fillClrLst>
    <dgm:linClrLst meth="repeat">
      <a:schemeClr val="dk2">
        <a:tint val="60000"/>
      </a:schemeClr>
    </dgm:linClrLst>
    <dgm:effectClrLst/>
    <dgm:txLinClrLst/>
    <dgm:txFillClrLst/>
    <dgm:txEffectClrLst/>
  </dgm:styleLbl>
  <dgm:styleLbl name="sibTrans1D1">
    <dgm:fillClrLst meth="repeat">
      <a:schemeClr val="dk2"/>
    </dgm:fillClrLst>
    <dgm:linClrLst meth="repeat">
      <a:schemeClr val="dk2"/>
    </dgm:linClrLst>
    <dgm:effectClrLst/>
    <dgm:txLinClrLst/>
    <dgm:txFillClrLst meth="repeat">
      <a:schemeClr val="lt2"/>
    </dgm:txFillClrLst>
    <dgm:txEffectClrLst/>
  </dgm:styleLbl>
  <dgm:styleLbl name="callout">
    <dgm:fillClrLst meth="repeat">
      <a:schemeClr val="dk2"/>
    </dgm:fillClrLst>
    <dgm:linClrLst meth="repeat">
      <a:schemeClr val="dk2">
        <a:tint val="50000"/>
      </a:schemeClr>
    </dgm:linClrLst>
    <dgm:effectClrLst/>
    <dgm:txLinClrLst/>
    <dgm:txFillClrLst meth="repeat">
      <a:schemeClr val="lt2"/>
    </dgm:txFillClrLst>
    <dgm:txEffectClrLst/>
  </dgm:styleLbl>
  <dgm:styleLbl name="asst0">
    <dgm:fillClrLst meth="repeat">
      <a:schemeClr val="dk2"/>
    </dgm:fillClrLst>
    <dgm:linClrLst meth="repeat">
      <a:schemeClr val="lt2"/>
    </dgm:linClrLst>
    <dgm:effectClrLst/>
    <dgm:txLinClrLst/>
    <dgm:txFillClrLst/>
    <dgm:txEffectClrLst/>
  </dgm:styleLbl>
  <dgm:styleLbl name="asst1">
    <dgm:fillClrLst meth="repeat">
      <a:schemeClr val="dk2"/>
    </dgm:fillClrLst>
    <dgm:linClrLst meth="repeat">
      <a:schemeClr val="lt2"/>
    </dgm:linClrLst>
    <dgm:effectClrLst/>
    <dgm:txLinClrLst/>
    <dgm:txFillClrLst/>
    <dgm:txEffectClrLst/>
  </dgm:styleLbl>
  <dgm:styleLbl name="asst2">
    <dgm:fillClrLst meth="repeat">
      <a:schemeClr val="dk2"/>
    </dgm:fillClrLst>
    <dgm:linClrLst meth="repeat">
      <a:schemeClr val="lt2"/>
    </dgm:linClrLst>
    <dgm:effectClrLst/>
    <dgm:txLinClrLst/>
    <dgm:txFillClrLst/>
    <dgm:txEffectClrLst/>
  </dgm:styleLbl>
  <dgm:styleLbl name="asst3">
    <dgm:fillClrLst meth="repeat">
      <a:schemeClr val="dk2"/>
    </dgm:fillClrLst>
    <dgm:linClrLst meth="repeat">
      <a:schemeClr val="lt2"/>
    </dgm:linClrLst>
    <dgm:effectClrLst/>
    <dgm:txLinClrLst/>
    <dgm:txFillClrLst/>
    <dgm:txEffectClrLst/>
  </dgm:styleLbl>
  <dgm:styleLbl name="asst4">
    <dgm:fillClrLst meth="repeat">
      <a:schemeClr val="dk2"/>
    </dgm:fillClrLst>
    <dgm:linClrLst meth="repeat">
      <a:schemeClr val="lt2"/>
    </dgm:linClrLst>
    <dgm:effectClrLst/>
    <dgm:txLinClrLst/>
    <dgm:txFillClrLst/>
    <dgm:txEffectClrLst/>
  </dgm:styleLbl>
  <dgm:styleLbl name="parChTrans2D1">
    <dgm:fillClrLst meth="repeat">
      <a:schemeClr val="dk2">
        <a:tint val="60000"/>
      </a:schemeClr>
    </dgm:fillClrLst>
    <dgm:linClrLst meth="repeat">
      <a:schemeClr val="dk2">
        <a:tint val="60000"/>
      </a:schemeClr>
    </dgm:linClrLst>
    <dgm:effectClrLst/>
    <dgm:txLinClrLst/>
    <dgm:txFillClrLst meth="repeat">
      <a:schemeClr val="lt2"/>
    </dgm:txFillClrLst>
    <dgm:txEffectClrLst/>
  </dgm:styleLbl>
  <dgm:styleLbl name="parChTrans2D2">
    <dgm:fillClrLst meth="repeat">
      <a:schemeClr val="dk2"/>
    </dgm:fillClrLst>
    <dgm:linClrLst meth="repeat">
      <a:schemeClr val="dk2"/>
    </dgm:linClrLst>
    <dgm:effectClrLst/>
    <dgm:txLinClrLst/>
    <dgm:txFillClrLst meth="repeat">
      <a:schemeClr val="lt2"/>
    </dgm:txFillClrLst>
    <dgm:txEffectClrLst/>
  </dgm:styleLbl>
  <dgm:styleLbl name="parChTrans2D3">
    <dgm:fillClrLst meth="repeat">
      <a:schemeClr val="dk2"/>
    </dgm:fillClrLst>
    <dgm:linClrLst meth="repeat">
      <a:schemeClr val="dk2"/>
    </dgm:linClrLst>
    <dgm:effectClrLst/>
    <dgm:txLinClrLst/>
    <dgm:txFillClrLst meth="repeat">
      <a:schemeClr val="lt2"/>
    </dgm:txFillClrLst>
    <dgm:txEffectClrLst/>
  </dgm:styleLbl>
  <dgm:styleLbl name="parChTrans2D4">
    <dgm:fillClrLst meth="repeat">
      <a:schemeClr val="dk2"/>
    </dgm:fillClrLst>
    <dgm:linClrLst meth="repeat">
      <a:schemeClr val="dk2"/>
    </dgm:linClrLst>
    <dgm:effectClrLst/>
    <dgm:txLinClrLst/>
    <dgm:txFillClrLst meth="repeat">
      <a:schemeClr val="lt2"/>
    </dgm:txFillClrLst>
    <dgm:txEffectClrLst/>
  </dgm:styleLbl>
  <dgm:styleLbl name="parChTrans1D1">
    <dgm:fillClrLst meth="repeat">
      <a:schemeClr val="dk2"/>
    </dgm:fillClrLst>
    <dgm:linClrLst meth="repeat">
      <a:schemeClr val="dk2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dk2"/>
    </dgm:fillClrLst>
    <dgm:linClrLst meth="repeat">
      <a:schemeClr val="dk2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dk2"/>
    </dgm:fillClrLst>
    <dgm:linClrLst meth="repeat">
      <a:schemeClr val="dk2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dk2"/>
    </dgm:fillClrLst>
    <dgm:linClrLst meth="repeat">
      <a:schemeClr val="dk2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2">
        <a:alpha val="90000"/>
      </a:schemeClr>
    </dgm:fillClrLst>
    <dgm:linClrLst meth="repeat">
      <a:schemeClr val="dk2"/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2">
        <a:alpha val="90000"/>
      </a:schemeClr>
    </dgm:fillClrLst>
    <dgm:linClrLst meth="repeat">
      <a:schemeClr val="dk2"/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2">
        <a:alpha val="90000"/>
      </a:schemeClr>
    </dgm:fillClrLst>
    <dgm:linClrLst meth="repeat">
      <a:schemeClr val="dk2"/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2">
        <a:alpha val="40000"/>
      </a:schemeClr>
    </dgm:fillClrLst>
    <dgm:linClrLst meth="repeat">
      <a:schemeClr val="dk2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2">
        <a:alpha val="90000"/>
      </a:schemeClr>
    </dgm:fillClrLst>
    <dgm:linClrLst meth="repeat">
      <a:schemeClr val="dk2"/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2"/>
    </dgm:fillClrLst>
    <dgm:linClrLst meth="repeat">
      <a:schemeClr val="dk2"/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2"/>
    </dgm:fillClrLst>
    <dgm:linClrLst meth="repeat">
      <a:schemeClr val="dk2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2"/>
    </dgm:fillClrLst>
    <dgm:linClrLst meth="repeat">
      <a:schemeClr val="dk2"/>
    </dgm:linClrLst>
    <dgm:effectClrLst/>
    <dgm:txLinClrLst/>
    <dgm:txFillClrLst meth="repeat">
      <a:schemeClr val="dk1"/>
    </dgm:txFillClrLst>
    <dgm:txEffectClrLst/>
  </dgm:styleLbl>
  <dgm:styleLbl name="fgAccFollowNode1">
    <dgm:fillClrLst meth="repeat">
      <a:schemeClr val="dk2">
        <a:alpha val="90000"/>
        <a:tint val="40000"/>
      </a:schemeClr>
    </dgm:fillClrLst>
    <dgm:linClrLst meth="repeat">
      <a:schemeClr val="dk2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 meth="repeat">
      <a:schemeClr val="dk2">
        <a:alpha val="90000"/>
        <a:tint val="40000"/>
      </a:schemeClr>
    </dgm:fillClrLst>
    <dgm:linClrLst meth="repeat">
      <a:schemeClr val="dk2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 meth="repeat">
      <a:schemeClr val="dk2">
        <a:alpha val="90000"/>
        <a:tint val="40000"/>
      </a:schemeClr>
    </dgm:fillClrLst>
    <dgm:linClrLst meth="repeat">
      <a:schemeClr val="dk2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2">
        <a:alpha val="90000"/>
      </a:schemeClr>
    </dgm:fillClrLst>
    <dgm:linClrLst meth="repeat">
      <a:schemeClr val="dk2"/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2">
        <a:alpha val="90000"/>
      </a:schemeClr>
    </dgm:fillClrLst>
    <dgm:linClrLst meth="repeat">
      <a:schemeClr val="dk2"/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2">
        <a:alpha val="90000"/>
      </a:schemeClr>
    </dgm:fillClrLst>
    <dgm:linClrLst meth="repeat">
      <a:schemeClr val="dk2"/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2">
        <a:alpha val="90000"/>
      </a:schemeClr>
    </dgm:fillClrLst>
    <dgm:linClrLst meth="repeat">
      <a:schemeClr val="dk2"/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dk2">
        <a:tint val="40000"/>
      </a:schemeClr>
    </dgm:fillClrLst>
    <dgm:linClrLst meth="repeat">
      <a:schemeClr val="dk2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dk2">
        <a:shade val="80000"/>
      </a:schemeClr>
    </dgm:fillClrLst>
    <dgm:linClrLst meth="repeat">
      <a:schemeClr val="dk2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dk2">
        <a:tint val="50000"/>
        <a:alpha val="40000"/>
      </a:schemeClr>
    </dgm:fillClrLst>
    <dgm:linClrLst meth="repeat">
      <a:schemeClr val="dk2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dk2">
        <a:tint val="60000"/>
      </a:schemeClr>
    </dgm:fillClrLst>
    <dgm:linClrLst meth="repeat">
      <a:schemeClr val="lt2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2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colors2.xml><?xml version="1.0" encoding="utf-8"?>
<dgm:colorsDef xmlns:dgm="http://schemas.openxmlformats.org/drawingml/2006/diagram" xmlns:a="http://schemas.openxmlformats.org/drawingml/2006/main" uniqueId="urn:microsoft.com/office/officeart/2005/8/colors/accent0_3">
  <dgm:title val=""/>
  <dgm:desc val=""/>
  <dgm:catLst>
    <dgm:cat type="mainScheme" pri="10300"/>
  </dgm:catLst>
  <dgm:styleLbl name="node0">
    <dgm:fillClrLst meth="repeat">
      <a:schemeClr val="dk2"/>
    </dgm:fillClrLst>
    <dgm:linClrLst meth="repeat">
      <a:schemeClr val="lt2"/>
    </dgm:linClrLst>
    <dgm:effectClrLst/>
    <dgm:txLinClrLst/>
    <dgm:txFillClrLst/>
    <dgm:txEffectClrLst/>
  </dgm:styleLbl>
  <dgm:styleLbl name="alignNode1">
    <dgm:fillClrLst meth="repeat">
      <a:schemeClr val="dk2"/>
    </dgm:fillClrLst>
    <dgm:linClrLst meth="repeat">
      <a:schemeClr val="dk2"/>
    </dgm:linClrLst>
    <dgm:effectClrLst/>
    <dgm:txLinClrLst/>
    <dgm:txFillClrLst/>
    <dgm:txEffectClrLst/>
  </dgm:styleLbl>
  <dgm:styleLbl name="node1">
    <dgm:fillClrLst meth="repeat">
      <a:schemeClr val="dk2"/>
    </dgm:fillClrLst>
    <dgm:linClrLst meth="repeat">
      <a:schemeClr val="lt2"/>
    </dgm:linClrLst>
    <dgm:effectClrLst/>
    <dgm:txLinClrLst/>
    <dgm:txFillClrLst/>
    <dgm:txEffectClrLst/>
  </dgm:styleLbl>
  <dgm:styleLbl name="lnNode1">
    <dgm:fillClrLst meth="repeat">
      <a:schemeClr val="dk2"/>
    </dgm:fillClrLst>
    <dgm:linClrLst meth="repeat">
      <a:schemeClr val="lt2"/>
    </dgm:linClrLst>
    <dgm:effectClrLst/>
    <dgm:txLinClrLst/>
    <dgm:txFillClrLst/>
    <dgm:txEffectClrLst/>
  </dgm:styleLbl>
  <dgm:styleLbl name="vennNode1">
    <dgm:fillClrLst meth="repeat">
      <a:schemeClr val="dk2">
        <a:alpha val="50000"/>
      </a:schemeClr>
    </dgm:fillClrLst>
    <dgm:linClrLst meth="repeat">
      <a:schemeClr val="lt2"/>
    </dgm:linClrLst>
    <dgm:effectClrLst/>
    <dgm:txLinClrLst/>
    <dgm:txFillClrLst/>
    <dgm:txEffectClrLst/>
  </dgm:styleLbl>
  <dgm:styleLbl name="node2">
    <dgm:fillClrLst meth="repeat">
      <a:schemeClr val="dk2"/>
    </dgm:fillClrLst>
    <dgm:linClrLst meth="repeat">
      <a:schemeClr val="lt2"/>
    </dgm:linClrLst>
    <dgm:effectClrLst/>
    <dgm:txLinClrLst/>
    <dgm:txFillClrLst/>
    <dgm:txEffectClrLst/>
  </dgm:styleLbl>
  <dgm:styleLbl name="node3">
    <dgm:fillClrLst meth="repeat">
      <a:schemeClr val="dk2"/>
    </dgm:fillClrLst>
    <dgm:linClrLst meth="repeat">
      <a:schemeClr val="lt2"/>
    </dgm:linClrLst>
    <dgm:effectClrLst/>
    <dgm:txLinClrLst/>
    <dgm:txFillClrLst/>
    <dgm:txEffectClrLst/>
  </dgm:styleLbl>
  <dgm:styleLbl name="node4">
    <dgm:fillClrLst meth="repeat">
      <a:schemeClr val="dk2"/>
    </dgm:fillClrLst>
    <dgm:linClrLst meth="repeat">
      <a:schemeClr val="lt2"/>
    </dgm:linClrLst>
    <dgm:effectClrLst/>
    <dgm:txLinClrLst/>
    <dgm:txFillClrLst/>
    <dgm:txEffectClrLst/>
  </dgm:styleLbl>
  <dgm:styleLbl name="fgImgPlace1">
    <dgm:fillClrLst meth="repeat">
      <a:schemeClr val="dk2">
        <a:tint val="50000"/>
      </a:schemeClr>
    </dgm:fillClrLst>
    <dgm:linClrLst meth="repeat">
      <a:schemeClr val="lt2"/>
    </dgm:linClrLst>
    <dgm:effectClrLst/>
    <dgm:txLinClrLst/>
    <dgm:txFillClrLst meth="repeat">
      <a:schemeClr val="lt2"/>
    </dgm:txFillClrLst>
    <dgm:txEffectClrLst/>
  </dgm:styleLbl>
  <dgm:styleLbl name="alignImgPlace1">
    <dgm:fillClrLst meth="repeat">
      <a:schemeClr val="dk2">
        <a:tint val="50000"/>
      </a:schemeClr>
    </dgm:fillClrLst>
    <dgm:linClrLst meth="repeat">
      <a:schemeClr val="dk2">
        <a:shade val="80000"/>
      </a:schemeClr>
    </dgm:linClrLst>
    <dgm:effectClrLst/>
    <dgm:txLinClrLst/>
    <dgm:txFillClrLst meth="repeat">
      <a:schemeClr val="lt2"/>
    </dgm:txFillClrLst>
    <dgm:txEffectClrLst/>
  </dgm:styleLbl>
  <dgm:styleLbl name="bgImgPlace1">
    <dgm:fillClrLst meth="repeat">
      <a:schemeClr val="dk2">
        <a:tint val="50000"/>
      </a:schemeClr>
    </dgm:fillClrLst>
    <dgm:linClrLst meth="repeat">
      <a:schemeClr val="dk2">
        <a:shade val="80000"/>
      </a:schemeClr>
    </dgm:linClrLst>
    <dgm:effectClrLst/>
    <dgm:txLinClrLst/>
    <dgm:txFillClrLst meth="repeat">
      <a:schemeClr val="lt2"/>
    </dgm:txFillClrLst>
    <dgm:txEffectClrLst/>
  </dgm:styleLbl>
  <dgm:styleLbl name="sibTrans2D1">
    <dgm:fillClrLst meth="repeat">
      <a:schemeClr val="dk2">
        <a:tint val="60000"/>
      </a:schemeClr>
    </dgm:fillClrLst>
    <dgm:linClrLst meth="repeat">
      <a:schemeClr val="dk2">
        <a:tint val="60000"/>
      </a:schemeClr>
    </dgm:linClrLst>
    <dgm:effectClrLst/>
    <dgm:txLinClrLst/>
    <dgm:txFillClrLst/>
    <dgm:txEffectClrLst/>
  </dgm:styleLbl>
  <dgm:styleLbl name="fgSibTrans2D1">
    <dgm:fillClrLst meth="repeat">
      <a:schemeClr val="dk2">
        <a:tint val="60000"/>
      </a:schemeClr>
    </dgm:fillClrLst>
    <dgm:linClrLst meth="repeat">
      <a:schemeClr val="dk2">
        <a:tint val="60000"/>
      </a:schemeClr>
    </dgm:linClrLst>
    <dgm:effectClrLst/>
    <dgm:txLinClrLst/>
    <dgm:txFillClrLst/>
    <dgm:txEffectClrLst/>
  </dgm:styleLbl>
  <dgm:styleLbl name="bgSibTrans2D1">
    <dgm:fillClrLst meth="repeat">
      <a:schemeClr val="dk2">
        <a:tint val="60000"/>
      </a:schemeClr>
    </dgm:fillClrLst>
    <dgm:linClrLst meth="repeat">
      <a:schemeClr val="dk2">
        <a:tint val="60000"/>
      </a:schemeClr>
    </dgm:linClrLst>
    <dgm:effectClrLst/>
    <dgm:txLinClrLst/>
    <dgm:txFillClrLst/>
    <dgm:txEffectClrLst/>
  </dgm:styleLbl>
  <dgm:styleLbl name="sibTrans1D1">
    <dgm:fillClrLst meth="repeat">
      <a:schemeClr val="dk2"/>
    </dgm:fillClrLst>
    <dgm:linClrLst meth="repeat">
      <a:schemeClr val="dk2"/>
    </dgm:linClrLst>
    <dgm:effectClrLst/>
    <dgm:txLinClrLst/>
    <dgm:txFillClrLst meth="repeat">
      <a:schemeClr val="lt2"/>
    </dgm:txFillClrLst>
    <dgm:txEffectClrLst/>
  </dgm:styleLbl>
  <dgm:styleLbl name="callout">
    <dgm:fillClrLst meth="repeat">
      <a:schemeClr val="dk2"/>
    </dgm:fillClrLst>
    <dgm:linClrLst meth="repeat">
      <a:schemeClr val="dk2">
        <a:tint val="50000"/>
      </a:schemeClr>
    </dgm:linClrLst>
    <dgm:effectClrLst/>
    <dgm:txLinClrLst/>
    <dgm:txFillClrLst meth="repeat">
      <a:schemeClr val="lt2"/>
    </dgm:txFillClrLst>
    <dgm:txEffectClrLst/>
  </dgm:styleLbl>
  <dgm:styleLbl name="asst0">
    <dgm:fillClrLst meth="repeat">
      <a:schemeClr val="dk2"/>
    </dgm:fillClrLst>
    <dgm:linClrLst meth="repeat">
      <a:schemeClr val="lt2"/>
    </dgm:linClrLst>
    <dgm:effectClrLst/>
    <dgm:txLinClrLst/>
    <dgm:txFillClrLst/>
    <dgm:txEffectClrLst/>
  </dgm:styleLbl>
  <dgm:styleLbl name="asst1">
    <dgm:fillClrLst meth="repeat">
      <a:schemeClr val="dk2"/>
    </dgm:fillClrLst>
    <dgm:linClrLst meth="repeat">
      <a:schemeClr val="lt2"/>
    </dgm:linClrLst>
    <dgm:effectClrLst/>
    <dgm:txLinClrLst/>
    <dgm:txFillClrLst/>
    <dgm:txEffectClrLst/>
  </dgm:styleLbl>
  <dgm:styleLbl name="asst2">
    <dgm:fillClrLst meth="repeat">
      <a:schemeClr val="dk2"/>
    </dgm:fillClrLst>
    <dgm:linClrLst meth="repeat">
      <a:schemeClr val="lt2"/>
    </dgm:linClrLst>
    <dgm:effectClrLst/>
    <dgm:txLinClrLst/>
    <dgm:txFillClrLst/>
    <dgm:txEffectClrLst/>
  </dgm:styleLbl>
  <dgm:styleLbl name="asst3">
    <dgm:fillClrLst meth="repeat">
      <a:schemeClr val="dk2"/>
    </dgm:fillClrLst>
    <dgm:linClrLst meth="repeat">
      <a:schemeClr val="lt2"/>
    </dgm:linClrLst>
    <dgm:effectClrLst/>
    <dgm:txLinClrLst/>
    <dgm:txFillClrLst/>
    <dgm:txEffectClrLst/>
  </dgm:styleLbl>
  <dgm:styleLbl name="asst4">
    <dgm:fillClrLst meth="repeat">
      <a:schemeClr val="dk2"/>
    </dgm:fillClrLst>
    <dgm:linClrLst meth="repeat">
      <a:schemeClr val="lt2"/>
    </dgm:linClrLst>
    <dgm:effectClrLst/>
    <dgm:txLinClrLst/>
    <dgm:txFillClrLst/>
    <dgm:txEffectClrLst/>
  </dgm:styleLbl>
  <dgm:styleLbl name="parChTrans2D1">
    <dgm:fillClrLst meth="repeat">
      <a:schemeClr val="dk2">
        <a:tint val="60000"/>
      </a:schemeClr>
    </dgm:fillClrLst>
    <dgm:linClrLst meth="repeat">
      <a:schemeClr val="dk2">
        <a:tint val="60000"/>
      </a:schemeClr>
    </dgm:linClrLst>
    <dgm:effectClrLst/>
    <dgm:txLinClrLst/>
    <dgm:txFillClrLst meth="repeat">
      <a:schemeClr val="lt2"/>
    </dgm:txFillClrLst>
    <dgm:txEffectClrLst/>
  </dgm:styleLbl>
  <dgm:styleLbl name="parChTrans2D2">
    <dgm:fillClrLst meth="repeat">
      <a:schemeClr val="dk2"/>
    </dgm:fillClrLst>
    <dgm:linClrLst meth="repeat">
      <a:schemeClr val="dk2"/>
    </dgm:linClrLst>
    <dgm:effectClrLst/>
    <dgm:txLinClrLst/>
    <dgm:txFillClrLst meth="repeat">
      <a:schemeClr val="lt2"/>
    </dgm:txFillClrLst>
    <dgm:txEffectClrLst/>
  </dgm:styleLbl>
  <dgm:styleLbl name="parChTrans2D3">
    <dgm:fillClrLst meth="repeat">
      <a:schemeClr val="dk2"/>
    </dgm:fillClrLst>
    <dgm:linClrLst meth="repeat">
      <a:schemeClr val="dk2"/>
    </dgm:linClrLst>
    <dgm:effectClrLst/>
    <dgm:txLinClrLst/>
    <dgm:txFillClrLst meth="repeat">
      <a:schemeClr val="lt2"/>
    </dgm:txFillClrLst>
    <dgm:txEffectClrLst/>
  </dgm:styleLbl>
  <dgm:styleLbl name="parChTrans2D4">
    <dgm:fillClrLst meth="repeat">
      <a:schemeClr val="dk2"/>
    </dgm:fillClrLst>
    <dgm:linClrLst meth="repeat">
      <a:schemeClr val="dk2"/>
    </dgm:linClrLst>
    <dgm:effectClrLst/>
    <dgm:txLinClrLst/>
    <dgm:txFillClrLst meth="repeat">
      <a:schemeClr val="lt2"/>
    </dgm:txFillClrLst>
    <dgm:txEffectClrLst/>
  </dgm:styleLbl>
  <dgm:styleLbl name="parChTrans1D1">
    <dgm:fillClrLst meth="repeat">
      <a:schemeClr val="dk2"/>
    </dgm:fillClrLst>
    <dgm:linClrLst meth="repeat">
      <a:schemeClr val="dk2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dk2"/>
    </dgm:fillClrLst>
    <dgm:linClrLst meth="repeat">
      <a:schemeClr val="dk2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dk2"/>
    </dgm:fillClrLst>
    <dgm:linClrLst meth="repeat">
      <a:schemeClr val="dk2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dk2"/>
    </dgm:fillClrLst>
    <dgm:linClrLst meth="repeat">
      <a:schemeClr val="dk2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2">
        <a:alpha val="90000"/>
      </a:schemeClr>
    </dgm:fillClrLst>
    <dgm:linClrLst meth="repeat">
      <a:schemeClr val="dk2"/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2">
        <a:alpha val="90000"/>
      </a:schemeClr>
    </dgm:fillClrLst>
    <dgm:linClrLst meth="repeat">
      <a:schemeClr val="dk2"/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2">
        <a:alpha val="90000"/>
      </a:schemeClr>
    </dgm:fillClrLst>
    <dgm:linClrLst meth="repeat">
      <a:schemeClr val="dk2"/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2">
        <a:alpha val="40000"/>
      </a:schemeClr>
    </dgm:fillClrLst>
    <dgm:linClrLst meth="repeat">
      <a:schemeClr val="dk2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2">
        <a:alpha val="90000"/>
      </a:schemeClr>
    </dgm:fillClrLst>
    <dgm:linClrLst meth="repeat">
      <a:schemeClr val="dk2"/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2"/>
    </dgm:fillClrLst>
    <dgm:linClrLst meth="repeat">
      <a:schemeClr val="dk2"/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2"/>
    </dgm:fillClrLst>
    <dgm:linClrLst meth="repeat">
      <a:schemeClr val="dk2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2"/>
    </dgm:fillClrLst>
    <dgm:linClrLst meth="repeat">
      <a:schemeClr val="dk2"/>
    </dgm:linClrLst>
    <dgm:effectClrLst/>
    <dgm:txLinClrLst/>
    <dgm:txFillClrLst meth="repeat">
      <a:schemeClr val="dk1"/>
    </dgm:txFillClrLst>
    <dgm:txEffectClrLst/>
  </dgm:styleLbl>
  <dgm:styleLbl name="fgAccFollowNode1">
    <dgm:fillClrLst meth="repeat">
      <a:schemeClr val="dk2">
        <a:alpha val="90000"/>
        <a:tint val="40000"/>
      </a:schemeClr>
    </dgm:fillClrLst>
    <dgm:linClrLst meth="repeat">
      <a:schemeClr val="dk2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 meth="repeat">
      <a:schemeClr val="dk2">
        <a:alpha val="90000"/>
        <a:tint val="40000"/>
      </a:schemeClr>
    </dgm:fillClrLst>
    <dgm:linClrLst meth="repeat">
      <a:schemeClr val="dk2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 meth="repeat">
      <a:schemeClr val="dk2">
        <a:alpha val="90000"/>
        <a:tint val="40000"/>
      </a:schemeClr>
    </dgm:fillClrLst>
    <dgm:linClrLst meth="repeat">
      <a:schemeClr val="dk2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2">
        <a:alpha val="90000"/>
      </a:schemeClr>
    </dgm:fillClrLst>
    <dgm:linClrLst meth="repeat">
      <a:schemeClr val="dk2"/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2">
        <a:alpha val="90000"/>
      </a:schemeClr>
    </dgm:fillClrLst>
    <dgm:linClrLst meth="repeat">
      <a:schemeClr val="dk2"/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2">
        <a:alpha val="90000"/>
      </a:schemeClr>
    </dgm:fillClrLst>
    <dgm:linClrLst meth="repeat">
      <a:schemeClr val="dk2"/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2">
        <a:alpha val="90000"/>
      </a:schemeClr>
    </dgm:fillClrLst>
    <dgm:linClrLst meth="repeat">
      <a:schemeClr val="dk2"/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dk2">
        <a:tint val="40000"/>
      </a:schemeClr>
    </dgm:fillClrLst>
    <dgm:linClrLst meth="repeat">
      <a:schemeClr val="dk2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dk2">
        <a:shade val="80000"/>
      </a:schemeClr>
    </dgm:fillClrLst>
    <dgm:linClrLst meth="repeat">
      <a:schemeClr val="dk2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dk2">
        <a:tint val="50000"/>
        <a:alpha val="40000"/>
      </a:schemeClr>
    </dgm:fillClrLst>
    <dgm:linClrLst meth="repeat">
      <a:schemeClr val="dk2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dk2">
        <a:tint val="60000"/>
      </a:schemeClr>
    </dgm:fillClrLst>
    <dgm:linClrLst meth="repeat">
      <a:schemeClr val="lt2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2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colors3.xml><?xml version="1.0" encoding="utf-8"?>
<dgm:colorsDef xmlns:dgm="http://schemas.openxmlformats.org/drawingml/2006/diagram" xmlns:a="http://schemas.openxmlformats.org/drawingml/2006/main" uniqueId="urn:microsoft.com/office/officeart/2005/8/colors/accent0_3">
  <dgm:title val=""/>
  <dgm:desc val=""/>
  <dgm:catLst>
    <dgm:cat type="mainScheme" pri="10300"/>
  </dgm:catLst>
  <dgm:styleLbl name="node0">
    <dgm:fillClrLst meth="repeat">
      <a:schemeClr val="dk2"/>
    </dgm:fillClrLst>
    <dgm:linClrLst meth="repeat">
      <a:schemeClr val="lt2"/>
    </dgm:linClrLst>
    <dgm:effectClrLst/>
    <dgm:txLinClrLst/>
    <dgm:txFillClrLst/>
    <dgm:txEffectClrLst/>
  </dgm:styleLbl>
  <dgm:styleLbl name="alignNode1">
    <dgm:fillClrLst meth="repeat">
      <a:schemeClr val="dk2"/>
    </dgm:fillClrLst>
    <dgm:linClrLst meth="repeat">
      <a:schemeClr val="dk2"/>
    </dgm:linClrLst>
    <dgm:effectClrLst/>
    <dgm:txLinClrLst/>
    <dgm:txFillClrLst/>
    <dgm:txEffectClrLst/>
  </dgm:styleLbl>
  <dgm:styleLbl name="node1">
    <dgm:fillClrLst meth="repeat">
      <a:schemeClr val="dk2"/>
    </dgm:fillClrLst>
    <dgm:linClrLst meth="repeat">
      <a:schemeClr val="lt2"/>
    </dgm:linClrLst>
    <dgm:effectClrLst/>
    <dgm:txLinClrLst/>
    <dgm:txFillClrLst/>
    <dgm:txEffectClrLst/>
  </dgm:styleLbl>
  <dgm:styleLbl name="lnNode1">
    <dgm:fillClrLst meth="repeat">
      <a:schemeClr val="dk2"/>
    </dgm:fillClrLst>
    <dgm:linClrLst meth="repeat">
      <a:schemeClr val="lt2"/>
    </dgm:linClrLst>
    <dgm:effectClrLst/>
    <dgm:txLinClrLst/>
    <dgm:txFillClrLst/>
    <dgm:txEffectClrLst/>
  </dgm:styleLbl>
  <dgm:styleLbl name="vennNode1">
    <dgm:fillClrLst meth="repeat">
      <a:schemeClr val="dk2">
        <a:alpha val="50000"/>
      </a:schemeClr>
    </dgm:fillClrLst>
    <dgm:linClrLst meth="repeat">
      <a:schemeClr val="lt2"/>
    </dgm:linClrLst>
    <dgm:effectClrLst/>
    <dgm:txLinClrLst/>
    <dgm:txFillClrLst/>
    <dgm:txEffectClrLst/>
  </dgm:styleLbl>
  <dgm:styleLbl name="node2">
    <dgm:fillClrLst meth="repeat">
      <a:schemeClr val="dk2"/>
    </dgm:fillClrLst>
    <dgm:linClrLst meth="repeat">
      <a:schemeClr val="lt2"/>
    </dgm:linClrLst>
    <dgm:effectClrLst/>
    <dgm:txLinClrLst/>
    <dgm:txFillClrLst/>
    <dgm:txEffectClrLst/>
  </dgm:styleLbl>
  <dgm:styleLbl name="node3">
    <dgm:fillClrLst meth="repeat">
      <a:schemeClr val="dk2"/>
    </dgm:fillClrLst>
    <dgm:linClrLst meth="repeat">
      <a:schemeClr val="lt2"/>
    </dgm:linClrLst>
    <dgm:effectClrLst/>
    <dgm:txLinClrLst/>
    <dgm:txFillClrLst/>
    <dgm:txEffectClrLst/>
  </dgm:styleLbl>
  <dgm:styleLbl name="node4">
    <dgm:fillClrLst meth="repeat">
      <a:schemeClr val="dk2"/>
    </dgm:fillClrLst>
    <dgm:linClrLst meth="repeat">
      <a:schemeClr val="lt2"/>
    </dgm:linClrLst>
    <dgm:effectClrLst/>
    <dgm:txLinClrLst/>
    <dgm:txFillClrLst/>
    <dgm:txEffectClrLst/>
  </dgm:styleLbl>
  <dgm:styleLbl name="fgImgPlace1">
    <dgm:fillClrLst meth="repeat">
      <a:schemeClr val="dk2">
        <a:tint val="50000"/>
      </a:schemeClr>
    </dgm:fillClrLst>
    <dgm:linClrLst meth="repeat">
      <a:schemeClr val="lt2"/>
    </dgm:linClrLst>
    <dgm:effectClrLst/>
    <dgm:txLinClrLst/>
    <dgm:txFillClrLst meth="repeat">
      <a:schemeClr val="lt2"/>
    </dgm:txFillClrLst>
    <dgm:txEffectClrLst/>
  </dgm:styleLbl>
  <dgm:styleLbl name="alignImgPlace1">
    <dgm:fillClrLst meth="repeat">
      <a:schemeClr val="dk2">
        <a:tint val="50000"/>
      </a:schemeClr>
    </dgm:fillClrLst>
    <dgm:linClrLst meth="repeat">
      <a:schemeClr val="dk2">
        <a:shade val="80000"/>
      </a:schemeClr>
    </dgm:linClrLst>
    <dgm:effectClrLst/>
    <dgm:txLinClrLst/>
    <dgm:txFillClrLst meth="repeat">
      <a:schemeClr val="lt2"/>
    </dgm:txFillClrLst>
    <dgm:txEffectClrLst/>
  </dgm:styleLbl>
  <dgm:styleLbl name="bgImgPlace1">
    <dgm:fillClrLst meth="repeat">
      <a:schemeClr val="dk2">
        <a:tint val="50000"/>
      </a:schemeClr>
    </dgm:fillClrLst>
    <dgm:linClrLst meth="repeat">
      <a:schemeClr val="dk2">
        <a:shade val="80000"/>
      </a:schemeClr>
    </dgm:linClrLst>
    <dgm:effectClrLst/>
    <dgm:txLinClrLst/>
    <dgm:txFillClrLst meth="repeat">
      <a:schemeClr val="lt2"/>
    </dgm:txFillClrLst>
    <dgm:txEffectClrLst/>
  </dgm:styleLbl>
  <dgm:styleLbl name="sibTrans2D1">
    <dgm:fillClrLst meth="repeat">
      <a:schemeClr val="dk2">
        <a:tint val="60000"/>
      </a:schemeClr>
    </dgm:fillClrLst>
    <dgm:linClrLst meth="repeat">
      <a:schemeClr val="dk2">
        <a:tint val="60000"/>
      </a:schemeClr>
    </dgm:linClrLst>
    <dgm:effectClrLst/>
    <dgm:txLinClrLst/>
    <dgm:txFillClrLst/>
    <dgm:txEffectClrLst/>
  </dgm:styleLbl>
  <dgm:styleLbl name="fgSibTrans2D1">
    <dgm:fillClrLst meth="repeat">
      <a:schemeClr val="dk2">
        <a:tint val="60000"/>
      </a:schemeClr>
    </dgm:fillClrLst>
    <dgm:linClrLst meth="repeat">
      <a:schemeClr val="dk2">
        <a:tint val="60000"/>
      </a:schemeClr>
    </dgm:linClrLst>
    <dgm:effectClrLst/>
    <dgm:txLinClrLst/>
    <dgm:txFillClrLst/>
    <dgm:txEffectClrLst/>
  </dgm:styleLbl>
  <dgm:styleLbl name="bgSibTrans2D1">
    <dgm:fillClrLst meth="repeat">
      <a:schemeClr val="dk2">
        <a:tint val="60000"/>
      </a:schemeClr>
    </dgm:fillClrLst>
    <dgm:linClrLst meth="repeat">
      <a:schemeClr val="dk2">
        <a:tint val="60000"/>
      </a:schemeClr>
    </dgm:linClrLst>
    <dgm:effectClrLst/>
    <dgm:txLinClrLst/>
    <dgm:txFillClrLst/>
    <dgm:txEffectClrLst/>
  </dgm:styleLbl>
  <dgm:styleLbl name="sibTrans1D1">
    <dgm:fillClrLst meth="repeat">
      <a:schemeClr val="dk2"/>
    </dgm:fillClrLst>
    <dgm:linClrLst meth="repeat">
      <a:schemeClr val="dk2"/>
    </dgm:linClrLst>
    <dgm:effectClrLst/>
    <dgm:txLinClrLst/>
    <dgm:txFillClrLst meth="repeat">
      <a:schemeClr val="lt2"/>
    </dgm:txFillClrLst>
    <dgm:txEffectClrLst/>
  </dgm:styleLbl>
  <dgm:styleLbl name="callout">
    <dgm:fillClrLst meth="repeat">
      <a:schemeClr val="dk2"/>
    </dgm:fillClrLst>
    <dgm:linClrLst meth="repeat">
      <a:schemeClr val="dk2">
        <a:tint val="50000"/>
      </a:schemeClr>
    </dgm:linClrLst>
    <dgm:effectClrLst/>
    <dgm:txLinClrLst/>
    <dgm:txFillClrLst meth="repeat">
      <a:schemeClr val="lt2"/>
    </dgm:txFillClrLst>
    <dgm:txEffectClrLst/>
  </dgm:styleLbl>
  <dgm:styleLbl name="asst0">
    <dgm:fillClrLst meth="repeat">
      <a:schemeClr val="dk2"/>
    </dgm:fillClrLst>
    <dgm:linClrLst meth="repeat">
      <a:schemeClr val="lt2"/>
    </dgm:linClrLst>
    <dgm:effectClrLst/>
    <dgm:txLinClrLst/>
    <dgm:txFillClrLst/>
    <dgm:txEffectClrLst/>
  </dgm:styleLbl>
  <dgm:styleLbl name="asst1">
    <dgm:fillClrLst meth="repeat">
      <a:schemeClr val="dk2"/>
    </dgm:fillClrLst>
    <dgm:linClrLst meth="repeat">
      <a:schemeClr val="lt2"/>
    </dgm:linClrLst>
    <dgm:effectClrLst/>
    <dgm:txLinClrLst/>
    <dgm:txFillClrLst/>
    <dgm:txEffectClrLst/>
  </dgm:styleLbl>
  <dgm:styleLbl name="asst2">
    <dgm:fillClrLst meth="repeat">
      <a:schemeClr val="dk2"/>
    </dgm:fillClrLst>
    <dgm:linClrLst meth="repeat">
      <a:schemeClr val="lt2"/>
    </dgm:linClrLst>
    <dgm:effectClrLst/>
    <dgm:txLinClrLst/>
    <dgm:txFillClrLst/>
    <dgm:txEffectClrLst/>
  </dgm:styleLbl>
  <dgm:styleLbl name="asst3">
    <dgm:fillClrLst meth="repeat">
      <a:schemeClr val="dk2"/>
    </dgm:fillClrLst>
    <dgm:linClrLst meth="repeat">
      <a:schemeClr val="lt2"/>
    </dgm:linClrLst>
    <dgm:effectClrLst/>
    <dgm:txLinClrLst/>
    <dgm:txFillClrLst/>
    <dgm:txEffectClrLst/>
  </dgm:styleLbl>
  <dgm:styleLbl name="asst4">
    <dgm:fillClrLst meth="repeat">
      <a:schemeClr val="dk2"/>
    </dgm:fillClrLst>
    <dgm:linClrLst meth="repeat">
      <a:schemeClr val="lt2"/>
    </dgm:linClrLst>
    <dgm:effectClrLst/>
    <dgm:txLinClrLst/>
    <dgm:txFillClrLst/>
    <dgm:txEffectClrLst/>
  </dgm:styleLbl>
  <dgm:styleLbl name="parChTrans2D1">
    <dgm:fillClrLst meth="repeat">
      <a:schemeClr val="dk2">
        <a:tint val="60000"/>
      </a:schemeClr>
    </dgm:fillClrLst>
    <dgm:linClrLst meth="repeat">
      <a:schemeClr val="dk2">
        <a:tint val="60000"/>
      </a:schemeClr>
    </dgm:linClrLst>
    <dgm:effectClrLst/>
    <dgm:txLinClrLst/>
    <dgm:txFillClrLst meth="repeat">
      <a:schemeClr val="lt2"/>
    </dgm:txFillClrLst>
    <dgm:txEffectClrLst/>
  </dgm:styleLbl>
  <dgm:styleLbl name="parChTrans2D2">
    <dgm:fillClrLst meth="repeat">
      <a:schemeClr val="dk2"/>
    </dgm:fillClrLst>
    <dgm:linClrLst meth="repeat">
      <a:schemeClr val="dk2"/>
    </dgm:linClrLst>
    <dgm:effectClrLst/>
    <dgm:txLinClrLst/>
    <dgm:txFillClrLst meth="repeat">
      <a:schemeClr val="lt2"/>
    </dgm:txFillClrLst>
    <dgm:txEffectClrLst/>
  </dgm:styleLbl>
  <dgm:styleLbl name="parChTrans2D3">
    <dgm:fillClrLst meth="repeat">
      <a:schemeClr val="dk2"/>
    </dgm:fillClrLst>
    <dgm:linClrLst meth="repeat">
      <a:schemeClr val="dk2"/>
    </dgm:linClrLst>
    <dgm:effectClrLst/>
    <dgm:txLinClrLst/>
    <dgm:txFillClrLst meth="repeat">
      <a:schemeClr val="lt2"/>
    </dgm:txFillClrLst>
    <dgm:txEffectClrLst/>
  </dgm:styleLbl>
  <dgm:styleLbl name="parChTrans2D4">
    <dgm:fillClrLst meth="repeat">
      <a:schemeClr val="dk2"/>
    </dgm:fillClrLst>
    <dgm:linClrLst meth="repeat">
      <a:schemeClr val="dk2"/>
    </dgm:linClrLst>
    <dgm:effectClrLst/>
    <dgm:txLinClrLst/>
    <dgm:txFillClrLst meth="repeat">
      <a:schemeClr val="lt2"/>
    </dgm:txFillClrLst>
    <dgm:txEffectClrLst/>
  </dgm:styleLbl>
  <dgm:styleLbl name="parChTrans1D1">
    <dgm:fillClrLst meth="repeat">
      <a:schemeClr val="dk2"/>
    </dgm:fillClrLst>
    <dgm:linClrLst meth="repeat">
      <a:schemeClr val="dk2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dk2"/>
    </dgm:fillClrLst>
    <dgm:linClrLst meth="repeat">
      <a:schemeClr val="dk2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dk2"/>
    </dgm:fillClrLst>
    <dgm:linClrLst meth="repeat">
      <a:schemeClr val="dk2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dk2"/>
    </dgm:fillClrLst>
    <dgm:linClrLst meth="repeat">
      <a:schemeClr val="dk2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2">
        <a:alpha val="90000"/>
      </a:schemeClr>
    </dgm:fillClrLst>
    <dgm:linClrLst meth="repeat">
      <a:schemeClr val="dk2"/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2">
        <a:alpha val="90000"/>
      </a:schemeClr>
    </dgm:fillClrLst>
    <dgm:linClrLst meth="repeat">
      <a:schemeClr val="dk2"/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2">
        <a:alpha val="90000"/>
      </a:schemeClr>
    </dgm:fillClrLst>
    <dgm:linClrLst meth="repeat">
      <a:schemeClr val="dk2"/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2">
        <a:alpha val="40000"/>
      </a:schemeClr>
    </dgm:fillClrLst>
    <dgm:linClrLst meth="repeat">
      <a:schemeClr val="dk2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2">
        <a:alpha val="90000"/>
      </a:schemeClr>
    </dgm:fillClrLst>
    <dgm:linClrLst meth="repeat">
      <a:schemeClr val="dk2"/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2"/>
    </dgm:fillClrLst>
    <dgm:linClrLst meth="repeat">
      <a:schemeClr val="dk2"/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2"/>
    </dgm:fillClrLst>
    <dgm:linClrLst meth="repeat">
      <a:schemeClr val="dk2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2"/>
    </dgm:fillClrLst>
    <dgm:linClrLst meth="repeat">
      <a:schemeClr val="dk2"/>
    </dgm:linClrLst>
    <dgm:effectClrLst/>
    <dgm:txLinClrLst/>
    <dgm:txFillClrLst meth="repeat">
      <a:schemeClr val="dk1"/>
    </dgm:txFillClrLst>
    <dgm:txEffectClrLst/>
  </dgm:styleLbl>
  <dgm:styleLbl name="fgAccFollowNode1">
    <dgm:fillClrLst meth="repeat">
      <a:schemeClr val="dk2">
        <a:alpha val="90000"/>
        <a:tint val="40000"/>
      </a:schemeClr>
    </dgm:fillClrLst>
    <dgm:linClrLst meth="repeat">
      <a:schemeClr val="dk2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 meth="repeat">
      <a:schemeClr val="dk2">
        <a:alpha val="90000"/>
        <a:tint val="40000"/>
      </a:schemeClr>
    </dgm:fillClrLst>
    <dgm:linClrLst meth="repeat">
      <a:schemeClr val="dk2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 meth="repeat">
      <a:schemeClr val="dk2">
        <a:alpha val="90000"/>
        <a:tint val="40000"/>
      </a:schemeClr>
    </dgm:fillClrLst>
    <dgm:linClrLst meth="repeat">
      <a:schemeClr val="dk2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2">
        <a:alpha val="90000"/>
      </a:schemeClr>
    </dgm:fillClrLst>
    <dgm:linClrLst meth="repeat">
      <a:schemeClr val="dk2"/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2">
        <a:alpha val="90000"/>
      </a:schemeClr>
    </dgm:fillClrLst>
    <dgm:linClrLst meth="repeat">
      <a:schemeClr val="dk2"/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2">
        <a:alpha val="90000"/>
      </a:schemeClr>
    </dgm:fillClrLst>
    <dgm:linClrLst meth="repeat">
      <a:schemeClr val="dk2"/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2">
        <a:alpha val="90000"/>
      </a:schemeClr>
    </dgm:fillClrLst>
    <dgm:linClrLst meth="repeat">
      <a:schemeClr val="dk2"/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dk2">
        <a:tint val="40000"/>
      </a:schemeClr>
    </dgm:fillClrLst>
    <dgm:linClrLst meth="repeat">
      <a:schemeClr val="dk2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dk2">
        <a:shade val="80000"/>
      </a:schemeClr>
    </dgm:fillClrLst>
    <dgm:linClrLst meth="repeat">
      <a:schemeClr val="dk2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dk2">
        <a:tint val="50000"/>
        <a:alpha val="40000"/>
      </a:schemeClr>
    </dgm:fillClrLst>
    <dgm:linClrLst meth="repeat">
      <a:schemeClr val="dk2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dk2">
        <a:tint val="60000"/>
      </a:schemeClr>
    </dgm:fillClrLst>
    <dgm:linClrLst meth="repeat">
      <a:schemeClr val="lt2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2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data1.xml><?xml version="1.0" encoding="utf-8"?>
<dgm:dataModel xmlns:dgm="http://schemas.openxmlformats.org/drawingml/2006/diagram" xmlns:a="http://schemas.openxmlformats.org/drawingml/2006/main">
  <dgm:ptLst>
    <dgm:pt modelId="{81213603-0259-4452-953A-F5C34EA665B7}" type="doc">
      <dgm:prSet loTypeId="urn:microsoft.com/office/officeart/2009/3/layout/FramedTextPicture" loCatId="picture" qsTypeId="urn:microsoft.com/office/officeart/2005/8/quickstyle/simple1" qsCatId="simple" csTypeId="urn:microsoft.com/office/officeart/2005/8/colors/accent0_3" csCatId="mainScheme" phldr="1"/>
      <dgm:spPr/>
      <dgm:t>
        <a:bodyPr/>
        <a:lstStyle/>
        <a:p>
          <a:endParaRPr lang="pt-BR"/>
        </a:p>
      </dgm:t>
    </dgm:pt>
    <dgm:pt modelId="{C41F63E2-890A-46A7-874F-AA23E60F5C11}">
      <dgm:prSet phldrT="[Texto]"/>
      <dgm:spPr/>
      <dgm:t>
        <a:bodyPr/>
        <a:lstStyle/>
        <a:p>
          <a:r>
            <a:rPr lang="pt-BR"/>
            <a:t>Logo da Empresa</a:t>
          </a:r>
        </a:p>
      </dgm:t>
    </dgm:pt>
    <dgm:pt modelId="{03D49C89-A64B-469E-9A85-8CB6BAC7E077}" type="parTrans" cxnId="{BD1EEEBA-C739-4DA9-96FF-815010DC5553}">
      <dgm:prSet/>
      <dgm:spPr/>
      <dgm:t>
        <a:bodyPr/>
        <a:lstStyle/>
        <a:p>
          <a:endParaRPr lang="pt-BR"/>
        </a:p>
      </dgm:t>
    </dgm:pt>
    <dgm:pt modelId="{5012D18F-D822-4A1D-BCEF-5246FFE344DF}" type="sibTrans" cxnId="{BD1EEEBA-C739-4DA9-96FF-815010DC5553}">
      <dgm:prSet/>
      <dgm:spPr/>
      <dgm:t>
        <a:bodyPr/>
        <a:lstStyle/>
        <a:p>
          <a:endParaRPr lang="pt-BR"/>
        </a:p>
      </dgm:t>
    </dgm:pt>
    <dgm:pt modelId="{713AD6C6-2362-4ED9-B062-DFCAAD5811D1}" type="pres">
      <dgm:prSet presAssocID="{81213603-0259-4452-953A-F5C34EA665B7}" presName="Name0" presStyleCnt="0">
        <dgm:presLayoutVars>
          <dgm:chMax/>
          <dgm:chPref/>
          <dgm:dir/>
        </dgm:presLayoutVars>
      </dgm:prSet>
      <dgm:spPr/>
    </dgm:pt>
    <dgm:pt modelId="{8BB6F5D8-4F31-43A4-8347-1BC2B2F3D852}" type="pres">
      <dgm:prSet presAssocID="{C41F63E2-890A-46A7-874F-AA23E60F5C11}" presName="composite" presStyleCnt="0">
        <dgm:presLayoutVars>
          <dgm:chMax/>
          <dgm:chPref/>
        </dgm:presLayoutVars>
      </dgm:prSet>
      <dgm:spPr/>
    </dgm:pt>
    <dgm:pt modelId="{160F67E5-7D4C-46EB-969C-D974C1D0E001}" type="pres">
      <dgm:prSet presAssocID="{C41F63E2-890A-46A7-874F-AA23E60F5C11}" presName="Image" presStyleLbl="bgImgPlace1" presStyleIdx="0" presStyleCnt="1"/>
      <dgm:spPr/>
    </dgm:pt>
    <dgm:pt modelId="{AE01F91F-4988-4FD6-95A5-0A6795E1A0F3}" type="pres">
      <dgm:prSet presAssocID="{C41F63E2-890A-46A7-874F-AA23E60F5C11}" presName="ParentText" presStyleLbl="revTx" presStyleIdx="0" presStyleCnt="1">
        <dgm:presLayoutVars>
          <dgm:chMax val="0"/>
          <dgm:chPref val="0"/>
          <dgm:bulletEnabled val="1"/>
        </dgm:presLayoutVars>
      </dgm:prSet>
      <dgm:spPr/>
    </dgm:pt>
    <dgm:pt modelId="{2A866F78-6B60-4541-A744-707A6774A4C9}" type="pres">
      <dgm:prSet presAssocID="{C41F63E2-890A-46A7-874F-AA23E60F5C11}" presName="tlFrame" presStyleLbl="node1" presStyleIdx="0" presStyleCnt="4"/>
      <dgm:spPr/>
    </dgm:pt>
    <dgm:pt modelId="{2B51B03F-26D9-4DAD-9A81-44AE5A0B62F3}" type="pres">
      <dgm:prSet presAssocID="{C41F63E2-890A-46A7-874F-AA23E60F5C11}" presName="trFrame" presStyleLbl="node1" presStyleIdx="1" presStyleCnt="4"/>
      <dgm:spPr/>
    </dgm:pt>
    <dgm:pt modelId="{53876DB1-677E-4889-B844-5F8588A31E59}" type="pres">
      <dgm:prSet presAssocID="{C41F63E2-890A-46A7-874F-AA23E60F5C11}" presName="blFrame" presStyleLbl="node1" presStyleIdx="2" presStyleCnt="4"/>
      <dgm:spPr/>
    </dgm:pt>
    <dgm:pt modelId="{7F0A4B96-10B1-4A0F-B2AB-1D86B87A03EE}" type="pres">
      <dgm:prSet presAssocID="{C41F63E2-890A-46A7-874F-AA23E60F5C11}" presName="brFrame" presStyleLbl="node1" presStyleIdx="3" presStyleCnt="4"/>
      <dgm:spPr/>
    </dgm:pt>
  </dgm:ptLst>
  <dgm:cxnLst>
    <dgm:cxn modelId="{30A85B36-9439-4534-B2C7-1E1924C7D213}" type="presOf" srcId="{81213603-0259-4452-953A-F5C34EA665B7}" destId="{713AD6C6-2362-4ED9-B062-DFCAAD5811D1}" srcOrd="0" destOrd="0" presId="urn:microsoft.com/office/officeart/2009/3/layout/FramedTextPicture"/>
    <dgm:cxn modelId="{06D3E853-4F13-48A1-B97C-3C160B873B02}" type="presOf" srcId="{C41F63E2-890A-46A7-874F-AA23E60F5C11}" destId="{AE01F91F-4988-4FD6-95A5-0A6795E1A0F3}" srcOrd="0" destOrd="0" presId="urn:microsoft.com/office/officeart/2009/3/layout/FramedTextPicture"/>
    <dgm:cxn modelId="{BD1EEEBA-C739-4DA9-96FF-815010DC5553}" srcId="{81213603-0259-4452-953A-F5C34EA665B7}" destId="{C41F63E2-890A-46A7-874F-AA23E60F5C11}" srcOrd="0" destOrd="0" parTransId="{03D49C89-A64B-469E-9A85-8CB6BAC7E077}" sibTransId="{5012D18F-D822-4A1D-BCEF-5246FFE344DF}"/>
    <dgm:cxn modelId="{38638D10-BD30-46C7-8D64-9E5A677CDE66}" type="presParOf" srcId="{713AD6C6-2362-4ED9-B062-DFCAAD5811D1}" destId="{8BB6F5D8-4F31-43A4-8347-1BC2B2F3D852}" srcOrd="0" destOrd="0" presId="urn:microsoft.com/office/officeart/2009/3/layout/FramedTextPicture"/>
    <dgm:cxn modelId="{A3100A4A-BD21-4902-B032-7E8264539DDF}" type="presParOf" srcId="{8BB6F5D8-4F31-43A4-8347-1BC2B2F3D852}" destId="{160F67E5-7D4C-46EB-969C-D974C1D0E001}" srcOrd="0" destOrd="0" presId="urn:microsoft.com/office/officeart/2009/3/layout/FramedTextPicture"/>
    <dgm:cxn modelId="{A2E8517D-B36D-424A-865A-7521F6BE68C9}" type="presParOf" srcId="{8BB6F5D8-4F31-43A4-8347-1BC2B2F3D852}" destId="{AE01F91F-4988-4FD6-95A5-0A6795E1A0F3}" srcOrd="1" destOrd="0" presId="urn:microsoft.com/office/officeart/2009/3/layout/FramedTextPicture"/>
    <dgm:cxn modelId="{0FD0ECB8-C1F3-4BE5-9F6E-21A0DA752466}" type="presParOf" srcId="{8BB6F5D8-4F31-43A4-8347-1BC2B2F3D852}" destId="{2A866F78-6B60-4541-A744-707A6774A4C9}" srcOrd="2" destOrd="0" presId="urn:microsoft.com/office/officeart/2009/3/layout/FramedTextPicture"/>
    <dgm:cxn modelId="{49DD61EE-3521-43E7-A572-C1FB88EEA41C}" type="presParOf" srcId="{8BB6F5D8-4F31-43A4-8347-1BC2B2F3D852}" destId="{2B51B03F-26D9-4DAD-9A81-44AE5A0B62F3}" srcOrd="3" destOrd="0" presId="urn:microsoft.com/office/officeart/2009/3/layout/FramedTextPicture"/>
    <dgm:cxn modelId="{4851279A-BD9B-48ED-A104-060864261372}" type="presParOf" srcId="{8BB6F5D8-4F31-43A4-8347-1BC2B2F3D852}" destId="{53876DB1-677E-4889-B844-5F8588A31E59}" srcOrd="4" destOrd="0" presId="urn:microsoft.com/office/officeart/2009/3/layout/FramedTextPicture"/>
    <dgm:cxn modelId="{6D92A6CC-5EE4-491D-919E-68001AE2FFA1}" type="presParOf" srcId="{8BB6F5D8-4F31-43A4-8347-1BC2B2F3D852}" destId="{7F0A4B96-10B1-4A0F-B2AB-1D86B87A03EE}" srcOrd="5" destOrd="0" presId="urn:microsoft.com/office/officeart/2009/3/layout/FramedTextPicture"/>
  </dgm:cxnLst>
  <dgm:bg/>
  <dgm:whole/>
  <dgm:extLst>
    <a:ext uri="http://schemas.microsoft.com/office/drawing/2008/diagram">
      <dsp:dataModelExt xmlns:dsp="http://schemas.microsoft.com/office/drawing/2008/diagram" relId="rId5" minVer="http://schemas.openxmlformats.org/drawingml/2006/diagram"/>
    </a:ext>
  </dgm:extLst>
</dgm:dataModel>
</file>

<file path=xl/diagrams/data2.xml><?xml version="1.0" encoding="utf-8"?>
<dgm:dataModel xmlns:dgm="http://schemas.openxmlformats.org/drawingml/2006/diagram" xmlns:a="http://schemas.openxmlformats.org/drawingml/2006/main">
  <dgm:ptLst>
    <dgm:pt modelId="{81213603-0259-4452-953A-F5C34EA665B7}" type="doc">
      <dgm:prSet loTypeId="urn:microsoft.com/office/officeart/2009/3/layout/FramedTextPicture" loCatId="picture" qsTypeId="urn:microsoft.com/office/officeart/2005/8/quickstyle/simple1" qsCatId="simple" csTypeId="urn:microsoft.com/office/officeart/2005/8/colors/accent0_3" csCatId="mainScheme" phldr="1"/>
      <dgm:spPr/>
      <dgm:t>
        <a:bodyPr/>
        <a:lstStyle/>
        <a:p>
          <a:endParaRPr lang="pt-BR"/>
        </a:p>
      </dgm:t>
    </dgm:pt>
    <dgm:pt modelId="{C41F63E2-890A-46A7-874F-AA23E60F5C11}">
      <dgm:prSet phldrT="[Texto]"/>
      <dgm:spPr/>
      <dgm:t>
        <a:bodyPr/>
        <a:lstStyle/>
        <a:p>
          <a:r>
            <a:rPr lang="pt-BR"/>
            <a:t>Logo da Empresa</a:t>
          </a:r>
        </a:p>
      </dgm:t>
    </dgm:pt>
    <dgm:pt modelId="{03D49C89-A64B-469E-9A85-8CB6BAC7E077}" type="parTrans" cxnId="{BD1EEEBA-C739-4DA9-96FF-815010DC5553}">
      <dgm:prSet/>
      <dgm:spPr/>
      <dgm:t>
        <a:bodyPr/>
        <a:lstStyle/>
        <a:p>
          <a:endParaRPr lang="pt-BR"/>
        </a:p>
      </dgm:t>
    </dgm:pt>
    <dgm:pt modelId="{5012D18F-D822-4A1D-BCEF-5246FFE344DF}" type="sibTrans" cxnId="{BD1EEEBA-C739-4DA9-96FF-815010DC5553}">
      <dgm:prSet/>
      <dgm:spPr/>
      <dgm:t>
        <a:bodyPr/>
        <a:lstStyle/>
        <a:p>
          <a:endParaRPr lang="pt-BR"/>
        </a:p>
      </dgm:t>
    </dgm:pt>
    <dgm:pt modelId="{713AD6C6-2362-4ED9-B062-DFCAAD5811D1}" type="pres">
      <dgm:prSet presAssocID="{81213603-0259-4452-953A-F5C34EA665B7}" presName="Name0" presStyleCnt="0">
        <dgm:presLayoutVars>
          <dgm:chMax/>
          <dgm:chPref/>
          <dgm:dir/>
        </dgm:presLayoutVars>
      </dgm:prSet>
      <dgm:spPr/>
    </dgm:pt>
    <dgm:pt modelId="{8BB6F5D8-4F31-43A4-8347-1BC2B2F3D852}" type="pres">
      <dgm:prSet presAssocID="{C41F63E2-890A-46A7-874F-AA23E60F5C11}" presName="composite" presStyleCnt="0">
        <dgm:presLayoutVars>
          <dgm:chMax/>
          <dgm:chPref/>
        </dgm:presLayoutVars>
      </dgm:prSet>
      <dgm:spPr/>
    </dgm:pt>
    <dgm:pt modelId="{160F67E5-7D4C-46EB-969C-D974C1D0E001}" type="pres">
      <dgm:prSet presAssocID="{C41F63E2-890A-46A7-874F-AA23E60F5C11}" presName="Image" presStyleLbl="bgImgPlace1" presStyleIdx="0" presStyleCnt="1"/>
      <dgm:spPr/>
    </dgm:pt>
    <dgm:pt modelId="{AE01F91F-4988-4FD6-95A5-0A6795E1A0F3}" type="pres">
      <dgm:prSet presAssocID="{C41F63E2-890A-46A7-874F-AA23E60F5C11}" presName="ParentText" presStyleLbl="revTx" presStyleIdx="0" presStyleCnt="1">
        <dgm:presLayoutVars>
          <dgm:chMax val="0"/>
          <dgm:chPref val="0"/>
          <dgm:bulletEnabled val="1"/>
        </dgm:presLayoutVars>
      </dgm:prSet>
      <dgm:spPr/>
    </dgm:pt>
    <dgm:pt modelId="{2A866F78-6B60-4541-A744-707A6774A4C9}" type="pres">
      <dgm:prSet presAssocID="{C41F63E2-890A-46A7-874F-AA23E60F5C11}" presName="tlFrame" presStyleLbl="node1" presStyleIdx="0" presStyleCnt="4"/>
      <dgm:spPr/>
    </dgm:pt>
    <dgm:pt modelId="{2B51B03F-26D9-4DAD-9A81-44AE5A0B62F3}" type="pres">
      <dgm:prSet presAssocID="{C41F63E2-890A-46A7-874F-AA23E60F5C11}" presName="trFrame" presStyleLbl="node1" presStyleIdx="1" presStyleCnt="4"/>
      <dgm:spPr/>
    </dgm:pt>
    <dgm:pt modelId="{53876DB1-677E-4889-B844-5F8588A31E59}" type="pres">
      <dgm:prSet presAssocID="{C41F63E2-890A-46A7-874F-AA23E60F5C11}" presName="blFrame" presStyleLbl="node1" presStyleIdx="2" presStyleCnt="4"/>
      <dgm:spPr/>
    </dgm:pt>
    <dgm:pt modelId="{7F0A4B96-10B1-4A0F-B2AB-1D86B87A03EE}" type="pres">
      <dgm:prSet presAssocID="{C41F63E2-890A-46A7-874F-AA23E60F5C11}" presName="brFrame" presStyleLbl="node1" presStyleIdx="3" presStyleCnt="4"/>
      <dgm:spPr/>
    </dgm:pt>
  </dgm:ptLst>
  <dgm:cxnLst>
    <dgm:cxn modelId="{30A85B36-9439-4534-B2C7-1E1924C7D213}" type="presOf" srcId="{81213603-0259-4452-953A-F5C34EA665B7}" destId="{713AD6C6-2362-4ED9-B062-DFCAAD5811D1}" srcOrd="0" destOrd="0" presId="urn:microsoft.com/office/officeart/2009/3/layout/FramedTextPicture"/>
    <dgm:cxn modelId="{06D3E853-4F13-48A1-B97C-3C160B873B02}" type="presOf" srcId="{C41F63E2-890A-46A7-874F-AA23E60F5C11}" destId="{AE01F91F-4988-4FD6-95A5-0A6795E1A0F3}" srcOrd="0" destOrd="0" presId="urn:microsoft.com/office/officeart/2009/3/layout/FramedTextPicture"/>
    <dgm:cxn modelId="{BD1EEEBA-C739-4DA9-96FF-815010DC5553}" srcId="{81213603-0259-4452-953A-F5C34EA665B7}" destId="{C41F63E2-890A-46A7-874F-AA23E60F5C11}" srcOrd="0" destOrd="0" parTransId="{03D49C89-A64B-469E-9A85-8CB6BAC7E077}" sibTransId="{5012D18F-D822-4A1D-BCEF-5246FFE344DF}"/>
    <dgm:cxn modelId="{38638D10-BD30-46C7-8D64-9E5A677CDE66}" type="presParOf" srcId="{713AD6C6-2362-4ED9-B062-DFCAAD5811D1}" destId="{8BB6F5D8-4F31-43A4-8347-1BC2B2F3D852}" srcOrd="0" destOrd="0" presId="urn:microsoft.com/office/officeart/2009/3/layout/FramedTextPicture"/>
    <dgm:cxn modelId="{A3100A4A-BD21-4902-B032-7E8264539DDF}" type="presParOf" srcId="{8BB6F5D8-4F31-43A4-8347-1BC2B2F3D852}" destId="{160F67E5-7D4C-46EB-969C-D974C1D0E001}" srcOrd="0" destOrd="0" presId="urn:microsoft.com/office/officeart/2009/3/layout/FramedTextPicture"/>
    <dgm:cxn modelId="{A2E8517D-B36D-424A-865A-7521F6BE68C9}" type="presParOf" srcId="{8BB6F5D8-4F31-43A4-8347-1BC2B2F3D852}" destId="{AE01F91F-4988-4FD6-95A5-0A6795E1A0F3}" srcOrd="1" destOrd="0" presId="urn:microsoft.com/office/officeart/2009/3/layout/FramedTextPicture"/>
    <dgm:cxn modelId="{0FD0ECB8-C1F3-4BE5-9F6E-21A0DA752466}" type="presParOf" srcId="{8BB6F5D8-4F31-43A4-8347-1BC2B2F3D852}" destId="{2A866F78-6B60-4541-A744-707A6774A4C9}" srcOrd="2" destOrd="0" presId="urn:microsoft.com/office/officeart/2009/3/layout/FramedTextPicture"/>
    <dgm:cxn modelId="{49DD61EE-3521-43E7-A572-C1FB88EEA41C}" type="presParOf" srcId="{8BB6F5D8-4F31-43A4-8347-1BC2B2F3D852}" destId="{2B51B03F-26D9-4DAD-9A81-44AE5A0B62F3}" srcOrd="3" destOrd="0" presId="urn:microsoft.com/office/officeart/2009/3/layout/FramedTextPicture"/>
    <dgm:cxn modelId="{4851279A-BD9B-48ED-A104-060864261372}" type="presParOf" srcId="{8BB6F5D8-4F31-43A4-8347-1BC2B2F3D852}" destId="{53876DB1-677E-4889-B844-5F8588A31E59}" srcOrd="4" destOrd="0" presId="urn:microsoft.com/office/officeart/2009/3/layout/FramedTextPicture"/>
    <dgm:cxn modelId="{6D92A6CC-5EE4-491D-919E-68001AE2FFA1}" type="presParOf" srcId="{8BB6F5D8-4F31-43A4-8347-1BC2B2F3D852}" destId="{7F0A4B96-10B1-4A0F-B2AB-1D86B87A03EE}" srcOrd="5" destOrd="0" presId="urn:microsoft.com/office/officeart/2009/3/layout/FramedTextPicture"/>
  </dgm:cxnLst>
  <dgm:bg/>
  <dgm:whole/>
  <dgm:extLst>
    <a:ext uri="http://schemas.microsoft.com/office/drawing/2008/diagram">
      <dsp:dataModelExt xmlns:dsp="http://schemas.microsoft.com/office/drawing/2008/diagram" relId="rId21" minVer="http://schemas.openxmlformats.org/drawingml/2006/diagram"/>
    </a:ext>
  </dgm:extLst>
</dgm:dataModel>
</file>

<file path=xl/diagrams/data3.xml><?xml version="1.0" encoding="utf-8"?>
<dgm:dataModel xmlns:dgm="http://schemas.openxmlformats.org/drawingml/2006/diagram" xmlns:a="http://schemas.openxmlformats.org/drawingml/2006/main">
  <dgm:ptLst>
    <dgm:pt modelId="{81213603-0259-4452-953A-F5C34EA665B7}" type="doc">
      <dgm:prSet loTypeId="urn:microsoft.com/office/officeart/2009/3/layout/FramedTextPicture" loCatId="picture" qsTypeId="urn:microsoft.com/office/officeart/2005/8/quickstyle/simple1" qsCatId="simple" csTypeId="urn:microsoft.com/office/officeart/2005/8/colors/accent0_3" csCatId="mainScheme" phldr="1"/>
      <dgm:spPr/>
      <dgm:t>
        <a:bodyPr/>
        <a:lstStyle/>
        <a:p>
          <a:endParaRPr lang="pt-BR"/>
        </a:p>
      </dgm:t>
    </dgm:pt>
    <dgm:pt modelId="{C41F63E2-890A-46A7-874F-AA23E60F5C11}">
      <dgm:prSet phldrT="[Texto]"/>
      <dgm:spPr/>
      <dgm:t>
        <a:bodyPr/>
        <a:lstStyle/>
        <a:p>
          <a:r>
            <a:rPr lang="pt-BR"/>
            <a:t>Logo da Empresa</a:t>
          </a:r>
        </a:p>
      </dgm:t>
    </dgm:pt>
    <dgm:pt modelId="{03D49C89-A64B-469E-9A85-8CB6BAC7E077}" type="parTrans" cxnId="{BD1EEEBA-C739-4DA9-96FF-815010DC5553}">
      <dgm:prSet/>
      <dgm:spPr/>
      <dgm:t>
        <a:bodyPr/>
        <a:lstStyle/>
        <a:p>
          <a:endParaRPr lang="pt-BR"/>
        </a:p>
      </dgm:t>
    </dgm:pt>
    <dgm:pt modelId="{5012D18F-D822-4A1D-BCEF-5246FFE344DF}" type="sibTrans" cxnId="{BD1EEEBA-C739-4DA9-96FF-815010DC5553}">
      <dgm:prSet/>
      <dgm:spPr/>
      <dgm:t>
        <a:bodyPr/>
        <a:lstStyle/>
        <a:p>
          <a:endParaRPr lang="pt-BR"/>
        </a:p>
      </dgm:t>
    </dgm:pt>
    <dgm:pt modelId="{713AD6C6-2362-4ED9-B062-DFCAAD5811D1}" type="pres">
      <dgm:prSet presAssocID="{81213603-0259-4452-953A-F5C34EA665B7}" presName="Name0" presStyleCnt="0">
        <dgm:presLayoutVars>
          <dgm:chMax/>
          <dgm:chPref/>
          <dgm:dir/>
        </dgm:presLayoutVars>
      </dgm:prSet>
      <dgm:spPr/>
    </dgm:pt>
    <dgm:pt modelId="{8BB6F5D8-4F31-43A4-8347-1BC2B2F3D852}" type="pres">
      <dgm:prSet presAssocID="{C41F63E2-890A-46A7-874F-AA23E60F5C11}" presName="composite" presStyleCnt="0">
        <dgm:presLayoutVars>
          <dgm:chMax/>
          <dgm:chPref/>
        </dgm:presLayoutVars>
      </dgm:prSet>
      <dgm:spPr/>
    </dgm:pt>
    <dgm:pt modelId="{160F67E5-7D4C-46EB-969C-D974C1D0E001}" type="pres">
      <dgm:prSet presAssocID="{C41F63E2-890A-46A7-874F-AA23E60F5C11}" presName="Image" presStyleLbl="bgImgPlace1" presStyleIdx="0" presStyleCnt="1"/>
      <dgm:spPr/>
    </dgm:pt>
    <dgm:pt modelId="{AE01F91F-4988-4FD6-95A5-0A6795E1A0F3}" type="pres">
      <dgm:prSet presAssocID="{C41F63E2-890A-46A7-874F-AA23E60F5C11}" presName="ParentText" presStyleLbl="revTx" presStyleIdx="0" presStyleCnt="1">
        <dgm:presLayoutVars>
          <dgm:chMax val="0"/>
          <dgm:chPref val="0"/>
          <dgm:bulletEnabled val="1"/>
        </dgm:presLayoutVars>
      </dgm:prSet>
      <dgm:spPr/>
    </dgm:pt>
    <dgm:pt modelId="{2A866F78-6B60-4541-A744-707A6774A4C9}" type="pres">
      <dgm:prSet presAssocID="{C41F63E2-890A-46A7-874F-AA23E60F5C11}" presName="tlFrame" presStyleLbl="node1" presStyleIdx="0" presStyleCnt="4"/>
      <dgm:spPr/>
    </dgm:pt>
    <dgm:pt modelId="{2B51B03F-26D9-4DAD-9A81-44AE5A0B62F3}" type="pres">
      <dgm:prSet presAssocID="{C41F63E2-890A-46A7-874F-AA23E60F5C11}" presName="trFrame" presStyleLbl="node1" presStyleIdx="1" presStyleCnt="4"/>
      <dgm:spPr/>
    </dgm:pt>
    <dgm:pt modelId="{53876DB1-677E-4889-B844-5F8588A31E59}" type="pres">
      <dgm:prSet presAssocID="{C41F63E2-890A-46A7-874F-AA23E60F5C11}" presName="blFrame" presStyleLbl="node1" presStyleIdx="2" presStyleCnt="4"/>
      <dgm:spPr/>
    </dgm:pt>
    <dgm:pt modelId="{7F0A4B96-10B1-4A0F-B2AB-1D86B87A03EE}" type="pres">
      <dgm:prSet presAssocID="{C41F63E2-890A-46A7-874F-AA23E60F5C11}" presName="brFrame" presStyleLbl="node1" presStyleIdx="3" presStyleCnt="4"/>
      <dgm:spPr/>
    </dgm:pt>
  </dgm:ptLst>
  <dgm:cxnLst>
    <dgm:cxn modelId="{30A85B36-9439-4534-B2C7-1E1924C7D213}" type="presOf" srcId="{81213603-0259-4452-953A-F5C34EA665B7}" destId="{713AD6C6-2362-4ED9-B062-DFCAAD5811D1}" srcOrd="0" destOrd="0" presId="urn:microsoft.com/office/officeart/2009/3/layout/FramedTextPicture"/>
    <dgm:cxn modelId="{06D3E853-4F13-48A1-B97C-3C160B873B02}" type="presOf" srcId="{C41F63E2-890A-46A7-874F-AA23E60F5C11}" destId="{AE01F91F-4988-4FD6-95A5-0A6795E1A0F3}" srcOrd="0" destOrd="0" presId="urn:microsoft.com/office/officeart/2009/3/layout/FramedTextPicture"/>
    <dgm:cxn modelId="{BD1EEEBA-C739-4DA9-96FF-815010DC5553}" srcId="{81213603-0259-4452-953A-F5C34EA665B7}" destId="{C41F63E2-890A-46A7-874F-AA23E60F5C11}" srcOrd="0" destOrd="0" parTransId="{03D49C89-A64B-469E-9A85-8CB6BAC7E077}" sibTransId="{5012D18F-D822-4A1D-BCEF-5246FFE344DF}"/>
    <dgm:cxn modelId="{38638D10-BD30-46C7-8D64-9E5A677CDE66}" type="presParOf" srcId="{713AD6C6-2362-4ED9-B062-DFCAAD5811D1}" destId="{8BB6F5D8-4F31-43A4-8347-1BC2B2F3D852}" srcOrd="0" destOrd="0" presId="urn:microsoft.com/office/officeart/2009/3/layout/FramedTextPicture"/>
    <dgm:cxn modelId="{A3100A4A-BD21-4902-B032-7E8264539DDF}" type="presParOf" srcId="{8BB6F5D8-4F31-43A4-8347-1BC2B2F3D852}" destId="{160F67E5-7D4C-46EB-969C-D974C1D0E001}" srcOrd="0" destOrd="0" presId="urn:microsoft.com/office/officeart/2009/3/layout/FramedTextPicture"/>
    <dgm:cxn modelId="{A2E8517D-B36D-424A-865A-7521F6BE68C9}" type="presParOf" srcId="{8BB6F5D8-4F31-43A4-8347-1BC2B2F3D852}" destId="{AE01F91F-4988-4FD6-95A5-0A6795E1A0F3}" srcOrd="1" destOrd="0" presId="urn:microsoft.com/office/officeart/2009/3/layout/FramedTextPicture"/>
    <dgm:cxn modelId="{0FD0ECB8-C1F3-4BE5-9F6E-21A0DA752466}" type="presParOf" srcId="{8BB6F5D8-4F31-43A4-8347-1BC2B2F3D852}" destId="{2A866F78-6B60-4541-A744-707A6774A4C9}" srcOrd="2" destOrd="0" presId="urn:microsoft.com/office/officeart/2009/3/layout/FramedTextPicture"/>
    <dgm:cxn modelId="{49DD61EE-3521-43E7-A572-C1FB88EEA41C}" type="presParOf" srcId="{8BB6F5D8-4F31-43A4-8347-1BC2B2F3D852}" destId="{2B51B03F-26D9-4DAD-9A81-44AE5A0B62F3}" srcOrd="3" destOrd="0" presId="urn:microsoft.com/office/officeart/2009/3/layout/FramedTextPicture"/>
    <dgm:cxn modelId="{4851279A-BD9B-48ED-A104-060864261372}" type="presParOf" srcId="{8BB6F5D8-4F31-43A4-8347-1BC2B2F3D852}" destId="{53876DB1-677E-4889-B844-5F8588A31E59}" srcOrd="4" destOrd="0" presId="urn:microsoft.com/office/officeart/2009/3/layout/FramedTextPicture"/>
    <dgm:cxn modelId="{6D92A6CC-5EE4-491D-919E-68001AE2FFA1}" type="presParOf" srcId="{8BB6F5D8-4F31-43A4-8347-1BC2B2F3D852}" destId="{7F0A4B96-10B1-4A0F-B2AB-1D86B87A03EE}" srcOrd="5" destOrd="0" presId="urn:microsoft.com/office/officeart/2009/3/layout/FramedTextPicture"/>
  </dgm:cxnLst>
  <dgm:bg/>
  <dgm:whole/>
  <dgm:extLst>
    <a:ext uri="http://schemas.microsoft.com/office/drawing/2008/diagram">
      <dsp:dataModelExt xmlns:dsp="http://schemas.microsoft.com/office/drawing/2008/diagram" relId="rId21" minVer="http://schemas.openxmlformats.org/drawingml/2006/diagram"/>
    </a:ext>
  </dgm:extLst>
</dgm:dataModel>
</file>

<file path=xl/diagrams/drawing1.xml><?xml version="1.0" encoding="utf-8"?>
<dsp:drawing xmlns:dgm="http://schemas.openxmlformats.org/drawingml/2006/diagram" xmlns:dsp="http://schemas.microsoft.com/office/drawing/2008/diagram" xmlns:a="http://schemas.openxmlformats.org/drawingml/2006/main">
  <dsp:spTree>
    <dsp:nvGrpSpPr>
      <dsp:cNvPr id="0" name=""/>
      <dsp:cNvGrpSpPr/>
    </dsp:nvGrpSpPr>
    <dsp:grpSpPr/>
    <dsp:sp modelId="{160F67E5-7D4C-46EB-969C-D974C1D0E001}">
      <dsp:nvSpPr>
        <dsp:cNvPr id="0" name=""/>
        <dsp:cNvSpPr/>
      </dsp:nvSpPr>
      <dsp:spPr>
        <a:xfrm>
          <a:off x="402073" y="0"/>
          <a:ext cx="490600" cy="327065"/>
        </a:xfrm>
        <a:prstGeom prst="rect">
          <a:avLst/>
        </a:prstGeom>
        <a:solidFill>
          <a:schemeClr val="dk2">
            <a:tint val="50000"/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dk2">
              <a:shade val="80000"/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/>
      </dsp:style>
    </dsp:sp>
    <dsp:sp modelId="{AE01F91F-4988-4FD6-95A5-0A6795E1A0F3}">
      <dsp:nvSpPr>
        <dsp:cNvPr id="0" name=""/>
        <dsp:cNvSpPr/>
      </dsp:nvSpPr>
      <dsp:spPr>
        <a:xfrm>
          <a:off x="913157" y="347517"/>
          <a:ext cx="695059" cy="429326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45720" tIns="45720" rIns="45720" bIns="45720" numCol="1" spcCol="1270" anchor="ctr" anchorCtr="0">
          <a:noAutofit/>
        </a:bodyPr>
        <a:lstStyle/>
        <a:p>
          <a:pPr marL="0" lvl="0" indent="0" algn="ctr" defTabSz="5334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pt-BR" sz="1200" kern="1200"/>
            <a:t>Logo da Empresa</a:t>
          </a:r>
        </a:p>
      </dsp:txBody>
      <dsp:txXfrm>
        <a:off x="913157" y="347517"/>
        <a:ext cx="695059" cy="429326"/>
      </dsp:txXfrm>
    </dsp:sp>
    <dsp:sp modelId="{2A866F78-6B60-4541-A744-707A6774A4C9}">
      <dsp:nvSpPr>
        <dsp:cNvPr id="0" name=""/>
        <dsp:cNvSpPr/>
      </dsp:nvSpPr>
      <dsp:spPr>
        <a:xfrm>
          <a:off x="851832" y="286245"/>
          <a:ext cx="166926" cy="166969"/>
        </a:xfrm>
        <a:prstGeom prst="halfFrame">
          <a:avLst>
            <a:gd name="adj1" fmla="val 25770"/>
            <a:gd name="adj2" fmla="val 25770"/>
          </a:avLst>
        </a:prstGeom>
        <a:solidFill>
          <a:schemeClr val="dk2"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lt2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2B51B03F-26D9-4DAD-9A81-44AE5A0B62F3}">
      <dsp:nvSpPr>
        <dsp:cNvPr id="0" name=""/>
        <dsp:cNvSpPr/>
      </dsp:nvSpPr>
      <dsp:spPr>
        <a:xfrm rot="5400000">
          <a:off x="1507429" y="286266"/>
          <a:ext cx="166969" cy="166926"/>
        </a:xfrm>
        <a:prstGeom prst="halfFrame">
          <a:avLst>
            <a:gd name="adj1" fmla="val 25770"/>
            <a:gd name="adj2" fmla="val 25770"/>
          </a:avLst>
        </a:prstGeom>
        <a:solidFill>
          <a:schemeClr val="dk2"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lt2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53876DB1-677E-4889-B844-5F8588A31E59}">
      <dsp:nvSpPr>
        <dsp:cNvPr id="0" name=""/>
        <dsp:cNvSpPr/>
      </dsp:nvSpPr>
      <dsp:spPr>
        <a:xfrm rot="16200000">
          <a:off x="851810" y="671252"/>
          <a:ext cx="166969" cy="166926"/>
        </a:xfrm>
        <a:prstGeom prst="halfFrame">
          <a:avLst>
            <a:gd name="adj1" fmla="val 25770"/>
            <a:gd name="adj2" fmla="val 25770"/>
          </a:avLst>
        </a:prstGeom>
        <a:solidFill>
          <a:schemeClr val="dk2"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lt2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7F0A4B96-10B1-4A0F-B2AB-1D86B87A03EE}">
      <dsp:nvSpPr>
        <dsp:cNvPr id="0" name=""/>
        <dsp:cNvSpPr/>
      </dsp:nvSpPr>
      <dsp:spPr>
        <a:xfrm rot="10800000">
          <a:off x="1507450" y="671230"/>
          <a:ext cx="166926" cy="166969"/>
        </a:xfrm>
        <a:prstGeom prst="halfFrame">
          <a:avLst>
            <a:gd name="adj1" fmla="val 25770"/>
            <a:gd name="adj2" fmla="val 25770"/>
          </a:avLst>
        </a:prstGeom>
        <a:solidFill>
          <a:schemeClr val="dk2"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lt2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</dsp:spTree>
</dsp:drawing>
</file>

<file path=xl/diagrams/drawing2.xml><?xml version="1.0" encoding="utf-8"?>
<dsp:drawing xmlns:dgm="http://schemas.openxmlformats.org/drawingml/2006/diagram" xmlns:dsp="http://schemas.microsoft.com/office/drawing/2008/diagram" xmlns:a="http://schemas.openxmlformats.org/drawingml/2006/main">
  <dsp:spTree>
    <dsp:nvGrpSpPr>
      <dsp:cNvPr id="0" name=""/>
      <dsp:cNvGrpSpPr/>
    </dsp:nvGrpSpPr>
    <dsp:grpSpPr/>
    <dsp:sp modelId="{160F67E5-7D4C-46EB-969C-D974C1D0E001}">
      <dsp:nvSpPr>
        <dsp:cNvPr id="0" name=""/>
        <dsp:cNvSpPr/>
      </dsp:nvSpPr>
      <dsp:spPr>
        <a:xfrm>
          <a:off x="278248" y="0"/>
          <a:ext cx="490600" cy="327065"/>
        </a:xfrm>
        <a:prstGeom prst="rect">
          <a:avLst/>
        </a:prstGeom>
        <a:solidFill>
          <a:schemeClr val="dk2">
            <a:tint val="50000"/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dk2">
              <a:shade val="80000"/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/>
      </dsp:style>
    </dsp:sp>
    <dsp:sp modelId="{AE01F91F-4988-4FD6-95A5-0A6795E1A0F3}">
      <dsp:nvSpPr>
        <dsp:cNvPr id="0" name=""/>
        <dsp:cNvSpPr/>
      </dsp:nvSpPr>
      <dsp:spPr>
        <a:xfrm>
          <a:off x="789332" y="347517"/>
          <a:ext cx="695059" cy="429326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45720" tIns="45720" rIns="45720" bIns="45720" numCol="1" spcCol="1270" anchor="ctr" anchorCtr="0">
          <a:noAutofit/>
        </a:bodyPr>
        <a:lstStyle/>
        <a:p>
          <a:pPr marL="0" lvl="0" indent="0" algn="ctr" defTabSz="5334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pt-BR" sz="1200" kern="1200"/>
            <a:t>Logo da Empresa</a:t>
          </a:r>
        </a:p>
      </dsp:txBody>
      <dsp:txXfrm>
        <a:off x="789332" y="347517"/>
        <a:ext cx="695059" cy="429326"/>
      </dsp:txXfrm>
    </dsp:sp>
    <dsp:sp modelId="{2A866F78-6B60-4541-A744-707A6774A4C9}">
      <dsp:nvSpPr>
        <dsp:cNvPr id="0" name=""/>
        <dsp:cNvSpPr/>
      </dsp:nvSpPr>
      <dsp:spPr>
        <a:xfrm>
          <a:off x="728007" y="286245"/>
          <a:ext cx="166926" cy="166969"/>
        </a:xfrm>
        <a:prstGeom prst="halfFrame">
          <a:avLst>
            <a:gd name="adj1" fmla="val 25770"/>
            <a:gd name="adj2" fmla="val 25770"/>
          </a:avLst>
        </a:prstGeom>
        <a:solidFill>
          <a:schemeClr val="dk2"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lt2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2B51B03F-26D9-4DAD-9A81-44AE5A0B62F3}">
      <dsp:nvSpPr>
        <dsp:cNvPr id="0" name=""/>
        <dsp:cNvSpPr/>
      </dsp:nvSpPr>
      <dsp:spPr>
        <a:xfrm rot="5400000">
          <a:off x="1383604" y="286266"/>
          <a:ext cx="166969" cy="166926"/>
        </a:xfrm>
        <a:prstGeom prst="halfFrame">
          <a:avLst>
            <a:gd name="adj1" fmla="val 25770"/>
            <a:gd name="adj2" fmla="val 25770"/>
          </a:avLst>
        </a:prstGeom>
        <a:solidFill>
          <a:schemeClr val="dk2"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lt2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53876DB1-677E-4889-B844-5F8588A31E59}">
      <dsp:nvSpPr>
        <dsp:cNvPr id="0" name=""/>
        <dsp:cNvSpPr/>
      </dsp:nvSpPr>
      <dsp:spPr>
        <a:xfrm rot="16200000">
          <a:off x="727985" y="671252"/>
          <a:ext cx="166969" cy="166926"/>
        </a:xfrm>
        <a:prstGeom prst="halfFrame">
          <a:avLst>
            <a:gd name="adj1" fmla="val 25770"/>
            <a:gd name="adj2" fmla="val 25770"/>
          </a:avLst>
        </a:prstGeom>
        <a:solidFill>
          <a:schemeClr val="dk2"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lt2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7F0A4B96-10B1-4A0F-B2AB-1D86B87A03EE}">
      <dsp:nvSpPr>
        <dsp:cNvPr id="0" name=""/>
        <dsp:cNvSpPr/>
      </dsp:nvSpPr>
      <dsp:spPr>
        <a:xfrm rot="10800000">
          <a:off x="1383625" y="671230"/>
          <a:ext cx="166926" cy="166969"/>
        </a:xfrm>
        <a:prstGeom prst="halfFrame">
          <a:avLst>
            <a:gd name="adj1" fmla="val 25770"/>
            <a:gd name="adj2" fmla="val 25770"/>
          </a:avLst>
        </a:prstGeom>
        <a:solidFill>
          <a:schemeClr val="dk2"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lt2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</dsp:spTree>
</dsp:drawing>
</file>

<file path=xl/diagrams/drawing3.xml><?xml version="1.0" encoding="utf-8"?>
<dsp:drawing xmlns:dgm="http://schemas.openxmlformats.org/drawingml/2006/diagram" xmlns:dsp="http://schemas.microsoft.com/office/drawing/2008/diagram" xmlns:a="http://schemas.openxmlformats.org/drawingml/2006/main">
  <dsp:spTree>
    <dsp:nvGrpSpPr>
      <dsp:cNvPr id="0" name=""/>
      <dsp:cNvGrpSpPr/>
    </dsp:nvGrpSpPr>
    <dsp:grpSpPr/>
    <dsp:sp modelId="{160F67E5-7D4C-46EB-969C-D974C1D0E001}">
      <dsp:nvSpPr>
        <dsp:cNvPr id="0" name=""/>
        <dsp:cNvSpPr/>
      </dsp:nvSpPr>
      <dsp:spPr>
        <a:xfrm>
          <a:off x="402073" y="0"/>
          <a:ext cx="490600" cy="327065"/>
        </a:xfrm>
        <a:prstGeom prst="rect">
          <a:avLst/>
        </a:prstGeom>
        <a:solidFill>
          <a:schemeClr val="dk2">
            <a:tint val="50000"/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dk2">
              <a:shade val="80000"/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/>
      </dsp:style>
    </dsp:sp>
    <dsp:sp modelId="{AE01F91F-4988-4FD6-95A5-0A6795E1A0F3}">
      <dsp:nvSpPr>
        <dsp:cNvPr id="0" name=""/>
        <dsp:cNvSpPr/>
      </dsp:nvSpPr>
      <dsp:spPr>
        <a:xfrm>
          <a:off x="913157" y="347517"/>
          <a:ext cx="695059" cy="429326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45720" tIns="45720" rIns="45720" bIns="45720" numCol="1" spcCol="1270" anchor="ctr" anchorCtr="0">
          <a:noAutofit/>
        </a:bodyPr>
        <a:lstStyle/>
        <a:p>
          <a:pPr marL="0" lvl="0" indent="0" algn="ctr" defTabSz="5334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pt-BR" sz="1200" kern="1200"/>
            <a:t>Logo da Empresa</a:t>
          </a:r>
        </a:p>
      </dsp:txBody>
      <dsp:txXfrm>
        <a:off x="913157" y="347517"/>
        <a:ext cx="695059" cy="429326"/>
      </dsp:txXfrm>
    </dsp:sp>
    <dsp:sp modelId="{2A866F78-6B60-4541-A744-707A6774A4C9}">
      <dsp:nvSpPr>
        <dsp:cNvPr id="0" name=""/>
        <dsp:cNvSpPr/>
      </dsp:nvSpPr>
      <dsp:spPr>
        <a:xfrm>
          <a:off x="851832" y="286245"/>
          <a:ext cx="166926" cy="166969"/>
        </a:xfrm>
        <a:prstGeom prst="halfFrame">
          <a:avLst>
            <a:gd name="adj1" fmla="val 25770"/>
            <a:gd name="adj2" fmla="val 25770"/>
          </a:avLst>
        </a:prstGeom>
        <a:solidFill>
          <a:schemeClr val="dk2"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lt2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2B51B03F-26D9-4DAD-9A81-44AE5A0B62F3}">
      <dsp:nvSpPr>
        <dsp:cNvPr id="0" name=""/>
        <dsp:cNvSpPr/>
      </dsp:nvSpPr>
      <dsp:spPr>
        <a:xfrm rot="5400000">
          <a:off x="1507429" y="286266"/>
          <a:ext cx="166969" cy="166926"/>
        </a:xfrm>
        <a:prstGeom prst="halfFrame">
          <a:avLst>
            <a:gd name="adj1" fmla="val 25770"/>
            <a:gd name="adj2" fmla="val 25770"/>
          </a:avLst>
        </a:prstGeom>
        <a:solidFill>
          <a:schemeClr val="dk2"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lt2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53876DB1-677E-4889-B844-5F8588A31E59}">
      <dsp:nvSpPr>
        <dsp:cNvPr id="0" name=""/>
        <dsp:cNvSpPr/>
      </dsp:nvSpPr>
      <dsp:spPr>
        <a:xfrm rot="16200000">
          <a:off x="851810" y="671252"/>
          <a:ext cx="166969" cy="166926"/>
        </a:xfrm>
        <a:prstGeom prst="halfFrame">
          <a:avLst>
            <a:gd name="adj1" fmla="val 25770"/>
            <a:gd name="adj2" fmla="val 25770"/>
          </a:avLst>
        </a:prstGeom>
        <a:solidFill>
          <a:schemeClr val="dk2"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lt2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7F0A4B96-10B1-4A0F-B2AB-1D86B87A03EE}">
      <dsp:nvSpPr>
        <dsp:cNvPr id="0" name=""/>
        <dsp:cNvSpPr/>
      </dsp:nvSpPr>
      <dsp:spPr>
        <a:xfrm rot="10800000">
          <a:off x="1507450" y="671230"/>
          <a:ext cx="166926" cy="166969"/>
        </a:xfrm>
        <a:prstGeom prst="halfFrame">
          <a:avLst>
            <a:gd name="adj1" fmla="val 25770"/>
            <a:gd name="adj2" fmla="val 25770"/>
          </a:avLst>
        </a:prstGeom>
        <a:solidFill>
          <a:schemeClr val="dk2"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lt2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</dsp:spTree>
</dsp:drawing>
</file>

<file path=xl/diagrams/layout1.xml><?xml version="1.0" encoding="utf-8"?>
<dgm:layoutDef xmlns:dgm="http://schemas.openxmlformats.org/drawingml/2006/diagram" xmlns:a="http://schemas.openxmlformats.org/drawingml/2006/main" uniqueId="urn:microsoft.com/office/officeart/2009/3/layout/FramedTextPicture">
  <dgm:title val=""/>
  <dgm:desc val=""/>
  <dgm:catLst>
    <dgm:cat type="picture" pri="20000"/>
    <dgm:cat type="pictureconvert" pri="20000"/>
  </dgm:catLst>
  <dgm:sampData>
    <dgm:dataModel>
      <dgm:ptLst>
        <dgm:pt modelId="0" type="doc"/>
        <dgm:pt modelId="10">
          <dgm:prSet phldr="1"/>
        </dgm:pt>
      </dgm:ptLst>
      <dgm:cxnLst>
        <dgm:cxn modelId="20" srcId="0" destId="10" srcOrd="0" destOrd="0"/>
      </dgm:cxnLst>
      <dgm:bg/>
      <dgm:whole/>
    </dgm:dataModel>
  </dgm:sampData>
  <dgm:styleData>
    <dgm:dataModel>
      <dgm:ptLst>
        <dgm:pt modelId="0" type="doc"/>
        <dgm:pt modelId="10">
          <dgm:prSet phldr="1"/>
        </dgm:pt>
      </dgm:ptLst>
      <dgm:cxnLst>
        <dgm:cxn modelId="20" srcId="0" destId="10" srcOrd="0" destOrd="0"/>
      </dgm:cxnLst>
      <dgm:bg/>
      <dgm:whole/>
    </dgm:dataModel>
  </dgm:styleData>
  <dgm:clrData>
    <dgm:dataModel>
      <dgm:ptLst>
        <dgm:pt modelId="0" type="doc"/>
        <dgm:pt modelId="10">
          <dgm:prSet phldr="1"/>
        </dgm:pt>
      </dgm:ptLst>
      <dgm:cxnLst>
        <dgm:cxn modelId="20" srcId="0" destId="10" srcOrd="0" destOrd="0"/>
      </dgm:cxnLst>
      <dgm:bg/>
      <dgm:whole/>
    </dgm:dataModel>
  </dgm:clrData>
  <dgm:layoutNode name="Name0">
    <dgm:varLst>
      <dgm:chMax/>
      <dgm:chPref/>
      <dgm:dir/>
    </dgm:varLst>
    <dgm:choose name="Name1">
      <dgm:if name="Name2" func="var" arg="dir" op="equ" val="norm">
        <dgm:alg type="snake">
          <dgm:param type="grDir" val="tL"/>
          <dgm:param type="off" val="ctr"/>
        </dgm:alg>
      </dgm:if>
      <dgm:else name="Name3">
        <dgm:alg type="snake">
          <dgm:param type="grDir" val="tR"/>
          <dgm:param type="off" val="ctr"/>
        </dgm:alg>
      </dgm:else>
    </dgm:choose>
    <dgm:shape xmlns:r="http://schemas.openxmlformats.org/officeDocument/2006/relationships" r:blip="">
      <dgm:adjLst/>
    </dgm:shape>
    <dgm:constrLst>
      <dgm:constr type="w" for="ch" forName="composite" refType="w"/>
      <dgm:constr type="h" for="ch" forName="composite" refType="h"/>
      <dgm:constr type="primFontSz" for="des" ptType="node" op="equ" val="65"/>
      <dgm:constr type="sp" refType="w" refFor="ch" refForName="composite" op="equ" fact="0.1"/>
      <dgm:constr type="w" for="ch" forName="sibTrans" refType="w" refFor="ch" refForName="composite" op="equ" fact="0.1"/>
      <dgm:constr type="h" for="ch" forName="sibTrans" refType="w" refFor="ch" refForName="sibTrans" op="equ"/>
    </dgm:constrLst>
    <dgm:forEach name="nodesForEach" axis="ch" ptType="node">
      <dgm:layoutNode name="composite">
        <dgm:varLst>
          <dgm:chMax/>
          <dgm:chPref/>
        </dgm:varLst>
        <dgm:alg type="composite">
          <dgm:param type="ar" val="1.5179"/>
        </dgm:alg>
        <dgm:shape xmlns:r="http://schemas.openxmlformats.org/officeDocument/2006/relationships" r:blip="">
          <dgm:adjLst/>
        </dgm:shape>
        <dgm:choose name="Name4">
          <dgm:if name="Name5" func="var" arg="dir" op="equ" val="norm">
            <dgm:constrLst>
              <dgm:constr type="l" for="ch" forName="Image" refType="w" fact="0"/>
              <dgm:constr type="t" for="ch" forName="Image" refType="h" fact="0"/>
              <dgm:constr type="w" for="ch" forName="Image" refType="w" fact="0.3856"/>
              <dgm:constr type="h" for="ch" forName="Image" refType="h" fact="0.3902"/>
              <dgm:constr type="l" for="ch" forName="ParentText" refType="w" fact="0.4017"/>
              <dgm:constr type="t" for="ch" forName="ParentText" refType="h" fact="0.4146"/>
              <dgm:constr type="w" for="ch" forName="ParentText" refType="w" fact="0.5463"/>
              <dgm:constr type="h" for="ch" forName="ParentText" refType="h" fact="0.5122"/>
              <dgm:constr type="l" for="ch" forName="tlFrame" refType="w" fact="0.3535"/>
              <dgm:constr type="t" for="ch" forName="tlFrame" refType="h" fact="0.3415"/>
              <dgm:constr type="w" for="ch" forName="tlFrame" refType="w" fact="0.1312"/>
              <dgm:constr type="h" for="ch" forName="tlFrame" refType="h" fact="0.1992"/>
              <dgm:constr type="l" for="ch" forName="trFrame" refType="w" fact="0.8688"/>
              <dgm:constr type="t" for="ch" forName="trFrame" refType="h" fact="0.3415"/>
              <dgm:constr type="w" for="ch" forName="trFrame" refType="w" fact="0.1312"/>
              <dgm:constr type="h" for="ch" forName="trFrame" refType="h" fact="0.1992"/>
              <dgm:constr type="l" for="ch" forName="blFrame" refType="w" fact="0.3535"/>
              <dgm:constr type="t" for="ch" forName="blFrame" refType="h" fact="0.8008"/>
              <dgm:constr type="w" for="ch" forName="blFrame" refType="w" fact="0.1312"/>
              <dgm:constr type="h" for="ch" forName="blFrame" refType="h" fact="0.1992"/>
              <dgm:constr type="l" for="ch" forName="brFrame" refType="w" fact="0.8688"/>
              <dgm:constr type="t" for="ch" forName="brFrame" refType="h" fact="0.8008"/>
              <dgm:constr type="w" for="ch" forName="brFrame" refType="w" fact="0.1312"/>
              <dgm:constr type="h" for="ch" forName="brFrame" refType="h" fact="0.1992"/>
            </dgm:constrLst>
          </dgm:if>
          <dgm:else name="Name6">
            <dgm:constrLst>
              <dgm:constr type="l" for="ch" forName="Image" refType="w" fact="0.6144"/>
              <dgm:constr type="t" for="ch" forName="Image" refType="h" fact="0"/>
              <dgm:constr type="w" for="ch" forName="Image" refType="w" fact="0.3856"/>
              <dgm:constr type="h" for="ch" forName="Image" refType="h" fact="0.3902"/>
              <dgm:constr type="l" for="ch" forName="ParentText" refType="w" fact="0.0482"/>
              <dgm:constr type="t" for="ch" forName="ParentText" refType="h" fact="0.4146"/>
              <dgm:constr type="w" for="ch" forName="ParentText" refType="w" fact="0.5463"/>
              <dgm:constr type="h" for="ch" forName="ParentText" refType="h" fact="0.5122"/>
              <dgm:constr type="l" for="ch" forName="tlFrame" refType="w" fact="0"/>
              <dgm:constr type="t" for="ch" forName="tlFrame" refType="h" fact="0.3415"/>
              <dgm:constr type="w" for="ch" forName="tlFrame" refType="w" fact="0.1312"/>
              <dgm:constr type="h" for="ch" forName="tlFrame" refType="h" fact="0.1992"/>
              <dgm:constr type="l" for="ch" forName="trFrame" refType="w" fact="0.5153"/>
              <dgm:constr type="t" for="ch" forName="trFrame" refType="h" fact="0.3415"/>
              <dgm:constr type="w" for="ch" forName="trFrame" refType="w" fact="0.1312"/>
              <dgm:constr type="h" for="ch" forName="trFrame" refType="h" fact="0.1992"/>
              <dgm:constr type="l" for="ch" forName="blFrame" refType="w" fact="0"/>
              <dgm:constr type="t" for="ch" forName="blFrame" refType="h" fact="0.8008"/>
              <dgm:constr type="w" for="ch" forName="blFrame" refType="w" fact="0.1312"/>
              <dgm:constr type="h" for="ch" forName="blFrame" refType="h" fact="0.1992"/>
              <dgm:constr type="l" for="ch" forName="brFrame" refType="w" fact="0.5153"/>
              <dgm:constr type="t" for="ch" forName="brFrame" refType="h" fact="0.8008"/>
              <dgm:constr type="w" for="ch" forName="brFrame" refType="w" fact="0.1312"/>
              <dgm:constr type="h" for="ch" forName="brFrame" refType="h" fact="0.1992"/>
            </dgm:constrLst>
          </dgm:else>
        </dgm:choose>
        <dgm:layoutNode name="Image" styleLbl="bgImgPlace1">
          <dgm:alg type="sp"/>
          <dgm:shape xmlns:r="http://schemas.openxmlformats.org/officeDocument/2006/relationships" type="rect" r:blip="" blipPhldr="1">
            <dgm:adjLst/>
          </dgm:shape>
          <dgm:presOf/>
        </dgm:layoutNode>
        <dgm:layoutNode name="ParentText" styleLbl="revTx">
          <dgm:varLst>
            <dgm:chMax val="0"/>
            <dgm:chPref val="0"/>
            <dgm:bulletEnabled val="1"/>
          </dgm:varLst>
          <dgm:alg type="tx"/>
          <dgm:shape xmlns:r="http://schemas.openxmlformats.org/officeDocument/2006/relationships" type="rect" r:blip="">
            <dgm:adjLst/>
          </dgm:shape>
          <dgm:presOf axis="desOrSelf" ptType="node"/>
          <dgm:constrLst>
            <dgm:constr type="lMarg" refType="primFontSz" fact="0.3"/>
            <dgm:constr type="rMarg" refType="primFontSz" fact="0.3"/>
            <dgm:constr type="tMarg" refType="primFontSz" fact="0.3"/>
            <dgm:constr type="bMarg" refType="primFontSz" fact="0.3"/>
          </dgm:constrLst>
          <dgm:ruleLst>
            <dgm:rule type="primFontSz" val="5" fact="NaN" max="NaN"/>
          </dgm:ruleLst>
        </dgm:layoutNode>
        <dgm:layoutNode name="tlFrame" styleLbl="node1">
          <dgm:alg type="sp"/>
          <dgm:shape xmlns:r="http://schemas.openxmlformats.org/officeDocument/2006/relationships" type="halfFrame" r:blip="">
            <dgm:adjLst>
              <dgm:adj idx="1" val="0.2577"/>
              <dgm:adj idx="2" val="0.2577"/>
            </dgm:adjLst>
          </dgm:shape>
          <dgm:presOf/>
        </dgm:layoutNode>
        <dgm:layoutNode name="trFrame" styleLbl="node1">
          <dgm:alg type="sp"/>
          <dgm:shape xmlns:r="http://schemas.openxmlformats.org/officeDocument/2006/relationships" rot="90" type="halfFrame" r:blip="">
            <dgm:adjLst>
              <dgm:adj idx="1" val="0.2577"/>
              <dgm:adj idx="2" val="0.2577"/>
            </dgm:adjLst>
          </dgm:shape>
          <dgm:presOf/>
        </dgm:layoutNode>
        <dgm:layoutNode name="blFrame" styleLbl="node1">
          <dgm:alg type="sp"/>
          <dgm:shape xmlns:r="http://schemas.openxmlformats.org/officeDocument/2006/relationships" rot="270" type="halfFrame" r:blip="">
            <dgm:adjLst>
              <dgm:adj idx="1" val="0.2577"/>
              <dgm:adj idx="2" val="0.2577"/>
            </dgm:adjLst>
          </dgm:shape>
          <dgm:presOf/>
        </dgm:layoutNode>
        <dgm:layoutNode name="brFrame" styleLbl="node1">
          <dgm:alg type="sp"/>
          <dgm:shape xmlns:r="http://schemas.openxmlformats.org/officeDocument/2006/relationships" rot="180" type="halfFrame" r:blip="">
            <dgm:adjLst>
              <dgm:adj idx="1" val="0.2577"/>
              <dgm:adj idx="2" val="0.2577"/>
            </dgm:adjLst>
          </dgm:shape>
          <dgm:presOf/>
        </dgm:layoutNode>
      </dgm:layoutNode>
      <dgm:forEach name="sibTransForEach" axis="followSib" ptType="sibTrans" cnt="1">
        <dgm:layoutNode name="sibTrans">
          <dgm:alg type="sp"/>
          <dgm:shape xmlns:r="http://schemas.openxmlformats.org/officeDocument/2006/relationships" r:blip="">
            <dgm:adjLst/>
          </dgm:shape>
        </dgm:layoutNode>
      </dgm:forEach>
    </dgm:forEach>
  </dgm:layoutNode>
</dgm:layoutDef>
</file>

<file path=xl/diagrams/layout2.xml><?xml version="1.0" encoding="utf-8"?>
<dgm:layoutDef xmlns:dgm="http://schemas.openxmlformats.org/drawingml/2006/diagram" xmlns:a="http://schemas.openxmlformats.org/drawingml/2006/main" uniqueId="urn:microsoft.com/office/officeart/2009/3/layout/FramedTextPicture">
  <dgm:title val=""/>
  <dgm:desc val=""/>
  <dgm:catLst>
    <dgm:cat type="picture" pri="20000"/>
    <dgm:cat type="pictureconvert" pri="20000"/>
  </dgm:catLst>
  <dgm:sampData>
    <dgm:dataModel>
      <dgm:ptLst>
        <dgm:pt modelId="0" type="doc"/>
        <dgm:pt modelId="10">
          <dgm:prSet phldr="1"/>
        </dgm:pt>
      </dgm:ptLst>
      <dgm:cxnLst>
        <dgm:cxn modelId="20" srcId="0" destId="10" srcOrd="0" destOrd="0"/>
      </dgm:cxnLst>
      <dgm:bg/>
      <dgm:whole/>
    </dgm:dataModel>
  </dgm:sampData>
  <dgm:styleData>
    <dgm:dataModel>
      <dgm:ptLst>
        <dgm:pt modelId="0" type="doc"/>
        <dgm:pt modelId="10">
          <dgm:prSet phldr="1"/>
        </dgm:pt>
      </dgm:ptLst>
      <dgm:cxnLst>
        <dgm:cxn modelId="20" srcId="0" destId="10" srcOrd="0" destOrd="0"/>
      </dgm:cxnLst>
      <dgm:bg/>
      <dgm:whole/>
    </dgm:dataModel>
  </dgm:styleData>
  <dgm:clrData>
    <dgm:dataModel>
      <dgm:ptLst>
        <dgm:pt modelId="0" type="doc"/>
        <dgm:pt modelId="10">
          <dgm:prSet phldr="1"/>
        </dgm:pt>
      </dgm:ptLst>
      <dgm:cxnLst>
        <dgm:cxn modelId="20" srcId="0" destId="10" srcOrd="0" destOrd="0"/>
      </dgm:cxnLst>
      <dgm:bg/>
      <dgm:whole/>
    </dgm:dataModel>
  </dgm:clrData>
  <dgm:layoutNode name="Name0">
    <dgm:varLst>
      <dgm:chMax/>
      <dgm:chPref/>
      <dgm:dir/>
    </dgm:varLst>
    <dgm:choose name="Name1">
      <dgm:if name="Name2" func="var" arg="dir" op="equ" val="norm">
        <dgm:alg type="snake">
          <dgm:param type="grDir" val="tL"/>
          <dgm:param type="off" val="ctr"/>
        </dgm:alg>
      </dgm:if>
      <dgm:else name="Name3">
        <dgm:alg type="snake">
          <dgm:param type="grDir" val="tR"/>
          <dgm:param type="off" val="ctr"/>
        </dgm:alg>
      </dgm:else>
    </dgm:choose>
    <dgm:shape xmlns:r="http://schemas.openxmlformats.org/officeDocument/2006/relationships" r:blip="">
      <dgm:adjLst/>
    </dgm:shape>
    <dgm:constrLst>
      <dgm:constr type="w" for="ch" forName="composite" refType="w"/>
      <dgm:constr type="h" for="ch" forName="composite" refType="h"/>
      <dgm:constr type="primFontSz" for="des" ptType="node" op="equ" val="65"/>
      <dgm:constr type="sp" refType="w" refFor="ch" refForName="composite" op="equ" fact="0.1"/>
      <dgm:constr type="w" for="ch" forName="sibTrans" refType="w" refFor="ch" refForName="composite" op="equ" fact="0.1"/>
      <dgm:constr type="h" for="ch" forName="sibTrans" refType="w" refFor="ch" refForName="sibTrans" op="equ"/>
    </dgm:constrLst>
    <dgm:forEach name="nodesForEach" axis="ch" ptType="node">
      <dgm:layoutNode name="composite">
        <dgm:varLst>
          <dgm:chMax/>
          <dgm:chPref/>
        </dgm:varLst>
        <dgm:alg type="composite">
          <dgm:param type="ar" val="1.5179"/>
        </dgm:alg>
        <dgm:shape xmlns:r="http://schemas.openxmlformats.org/officeDocument/2006/relationships" r:blip="">
          <dgm:adjLst/>
        </dgm:shape>
        <dgm:choose name="Name4">
          <dgm:if name="Name5" func="var" arg="dir" op="equ" val="norm">
            <dgm:constrLst>
              <dgm:constr type="l" for="ch" forName="Image" refType="w" fact="0"/>
              <dgm:constr type="t" for="ch" forName="Image" refType="h" fact="0"/>
              <dgm:constr type="w" for="ch" forName="Image" refType="w" fact="0.3856"/>
              <dgm:constr type="h" for="ch" forName="Image" refType="h" fact="0.3902"/>
              <dgm:constr type="l" for="ch" forName="ParentText" refType="w" fact="0.4017"/>
              <dgm:constr type="t" for="ch" forName="ParentText" refType="h" fact="0.4146"/>
              <dgm:constr type="w" for="ch" forName="ParentText" refType="w" fact="0.5463"/>
              <dgm:constr type="h" for="ch" forName="ParentText" refType="h" fact="0.5122"/>
              <dgm:constr type="l" for="ch" forName="tlFrame" refType="w" fact="0.3535"/>
              <dgm:constr type="t" for="ch" forName="tlFrame" refType="h" fact="0.3415"/>
              <dgm:constr type="w" for="ch" forName="tlFrame" refType="w" fact="0.1312"/>
              <dgm:constr type="h" for="ch" forName="tlFrame" refType="h" fact="0.1992"/>
              <dgm:constr type="l" for="ch" forName="trFrame" refType="w" fact="0.8688"/>
              <dgm:constr type="t" for="ch" forName="trFrame" refType="h" fact="0.3415"/>
              <dgm:constr type="w" for="ch" forName="trFrame" refType="w" fact="0.1312"/>
              <dgm:constr type="h" for="ch" forName="trFrame" refType="h" fact="0.1992"/>
              <dgm:constr type="l" for="ch" forName="blFrame" refType="w" fact="0.3535"/>
              <dgm:constr type="t" for="ch" forName="blFrame" refType="h" fact="0.8008"/>
              <dgm:constr type="w" for="ch" forName="blFrame" refType="w" fact="0.1312"/>
              <dgm:constr type="h" for="ch" forName="blFrame" refType="h" fact="0.1992"/>
              <dgm:constr type="l" for="ch" forName="brFrame" refType="w" fact="0.8688"/>
              <dgm:constr type="t" for="ch" forName="brFrame" refType="h" fact="0.8008"/>
              <dgm:constr type="w" for="ch" forName="brFrame" refType="w" fact="0.1312"/>
              <dgm:constr type="h" for="ch" forName="brFrame" refType="h" fact="0.1992"/>
            </dgm:constrLst>
          </dgm:if>
          <dgm:else name="Name6">
            <dgm:constrLst>
              <dgm:constr type="l" for="ch" forName="Image" refType="w" fact="0.6144"/>
              <dgm:constr type="t" for="ch" forName="Image" refType="h" fact="0"/>
              <dgm:constr type="w" for="ch" forName="Image" refType="w" fact="0.3856"/>
              <dgm:constr type="h" for="ch" forName="Image" refType="h" fact="0.3902"/>
              <dgm:constr type="l" for="ch" forName="ParentText" refType="w" fact="0.0482"/>
              <dgm:constr type="t" for="ch" forName="ParentText" refType="h" fact="0.4146"/>
              <dgm:constr type="w" for="ch" forName="ParentText" refType="w" fact="0.5463"/>
              <dgm:constr type="h" for="ch" forName="ParentText" refType="h" fact="0.5122"/>
              <dgm:constr type="l" for="ch" forName="tlFrame" refType="w" fact="0"/>
              <dgm:constr type="t" for="ch" forName="tlFrame" refType="h" fact="0.3415"/>
              <dgm:constr type="w" for="ch" forName="tlFrame" refType="w" fact="0.1312"/>
              <dgm:constr type="h" for="ch" forName="tlFrame" refType="h" fact="0.1992"/>
              <dgm:constr type="l" for="ch" forName="trFrame" refType="w" fact="0.5153"/>
              <dgm:constr type="t" for="ch" forName="trFrame" refType="h" fact="0.3415"/>
              <dgm:constr type="w" for="ch" forName="trFrame" refType="w" fact="0.1312"/>
              <dgm:constr type="h" for="ch" forName="trFrame" refType="h" fact="0.1992"/>
              <dgm:constr type="l" for="ch" forName="blFrame" refType="w" fact="0"/>
              <dgm:constr type="t" for="ch" forName="blFrame" refType="h" fact="0.8008"/>
              <dgm:constr type="w" for="ch" forName="blFrame" refType="w" fact="0.1312"/>
              <dgm:constr type="h" for="ch" forName="blFrame" refType="h" fact="0.1992"/>
              <dgm:constr type="l" for="ch" forName="brFrame" refType="w" fact="0.5153"/>
              <dgm:constr type="t" for="ch" forName="brFrame" refType="h" fact="0.8008"/>
              <dgm:constr type="w" for="ch" forName="brFrame" refType="w" fact="0.1312"/>
              <dgm:constr type="h" for="ch" forName="brFrame" refType="h" fact="0.1992"/>
            </dgm:constrLst>
          </dgm:else>
        </dgm:choose>
        <dgm:layoutNode name="Image" styleLbl="bgImgPlace1">
          <dgm:alg type="sp"/>
          <dgm:shape xmlns:r="http://schemas.openxmlformats.org/officeDocument/2006/relationships" type="rect" r:blip="" blipPhldr="1">
            <dgm:adjLst/>
          </dgm:shape>
          <dgm:presOf/>
        </dgm:layoutNode>
        <dgm:layoutNode name="ParentText" styleLbl="revTx">
          <dgm:varLst>
            <dgm:chMax val="0"/>
            <dgm:chPref val="0"/>
            <dgm:bulletEnabled val="1"/>
          </dgm:varLst>
          <dgm:alg type="tx"/>
          <dgm:shape xmlns:r="http://schemas.openxmlformats.org/officeDocument/2006/relationships" type="rect" r:blip="">
            <dgm:adjLst/>
          </dgm:shape>
          <dgm:presOf axis="desOrSelf" ptType="node"/>
          <dgm:constrLst>
            <dgm:constr type="lMarg" refType="primFontSz" fact="0.3"/>
            <dgm:constr type="rMarg" refType="primFontSz" fact="0.3"/>
            <dgm:constr type="tMarg" refType="primFontSz" fact="0.3"/>
            <dgm:constr type="bMarg" refType="primFontSz" fact="0.3"/>
          </dgm:constrLst>
          <dgm:ruleLst>
            <dgm:rule type="primFontSz" val="5" fact="NaN" max="NaN"/>
          </dgm:ruleLst>
        </dgm:layoutNode>
        <dgm:layoutNode name="tlFrame" styleLbl="node1">
          <dgm:alg type="sp"/>
          <dgm:shape xmlns:r="http://schemas.openxmlformats.org/officeDocument/2006/relationships" type="halfFrame" r:blip="">
            <dgm:adjLst>
              <dgm:adj idx="1" val="0.2577"/>
              <dgm:adj idx="2" val="0.2577"/>
            </dgm:adjLst>
          </dgm:shape>
          <dgm:presOf/>
        </dgm:layoutNode>
        <dgm:layoutNode name="trFrame" styleLbl="node1">
          <dgm:alg type="sp"/>
          <dgm:shape xmlns:r="http://schemas.openxmlformats.org/officeDocument/2006/relationships" rot="90" type="halfFrame" r:blip="">
            <dgm:adjLst>
              <dgm:adj idx="1" val="0.2577"/>
              <dgm:adj idx="2" val="0.2577"/>
            </dgm:adjLst>
          </dgm:shape>
          <dgm:presOf/>
        </dgm:layoutNode>
        <dgm:layoutNode name="blFrame" styleLbl="node1">
          <dgm:alg type="sp"/>
          <dgm:shape xmlns:r="http://schemas.openxmlformats.org/officeDocument/2006/relationships" rot="270" type="halfFrame" r:blip="">
            <dgm:adjLst>
              <dgm:adj idx="1" val="0.2577"/>
              <dgm:adj idx="2" val="0.2577"/>
            </dgm:adjLst>
          </dgm:shape>
          <dgm:presOf/>
        </dgm:layoutNode>
        <dgm:layoutNode name="brFrame" styleLbl="node1">
          <dgm:alg type="sp"/>
          <dgm:shape xmlns:r="http://schemas.openxmlformats.org/officeDocument/2006/relationships" rot="180" type="halfFrame" r:blip="">
            <dgm:adjLst>
              <dgm:adj idx="1" val="0.2577"/>
              <dgm:adj idx="2" val="0.2577"/>
            </dgm:adjLst>
          </dgm:shape>
          <dgm:presOf/>
        </dgm:layoutNode>
      </dgm:layoutNode>
      <dgm:forEach name="sibTransForEach" axis="followSib" ptType="sibTrans" cnt="1">
        <dgm:layoutNode name="sibTrans">
          <dgm:alg type="sp"/>
          <dgm:shape xmlns:r="http://schemas.openxmlformats.org/officeDocument/2006/relationships" r:blip="">
            <dgm:adjLst/>
          </dgm:shape>
        </dgm:layoutNode>
      </dgm:forEach>
    </dgm:forEach>
  </dgm:layoutNode>
</dgm:layoutDef>
</file>

<file path=xl/diagrams/layout3.xml><?xml version="1.0" encoding="utf-8"?>
<dgm:layoutDef xmlns:dgm="http://schemas.openxmlformats.org/drawingml/2006/diagram" xmlns:a="http://schemas.openxmlformats.org/drawingml/2006/main" uniqueId="urn:microsoft.com/office/officeart/2009/3/layout/FramedTextPicture">
  <dgm:title val=""/>
  <dgm:desc val=""/>
  <dgm:catLst>
    <dgm:cat type="picture" pri="20000"/>
    <dgm:cat type="pictureconvert" pri="20000"/>
  </dgm:catLst>
  <dgm:sampData>
    <dgm:dataModel>
      <dgm:ptLst>
        <dgm:pt modelId="0" type="doc"/>
        <dgm:pt modelId="10">
          <dgm:prSet phldr="1"/>
        </dgm:pt>
      </dgm:ptLst>
      <dgm:cxnLst>
        <dgm:cxn modelId="20" srcId="0" destId="10" srcOrd="0" destOrd="0"/>
      </dgm:cxnLst>
      <dgm:bg/>
      <dgm:whole/>
    </dgm:dataModel>
  </dgm:sampData>
  <dgm:styleData>
    <dgm:dataModel>
      <dgm:ptLst>
        <dgm:pt modelId="0" type="doc"/>
        <dgm:pt modelId="10">
          <dgm:prSet phldr="1"/>
        </dgm:pt>
      </dgm:ptLst>
      <dgm:cxnLst>
        <dgm:cxn modelId="20" srcId="0" destId="10" srcOrd="0" destOrd="0"/>
      </dgm:cxnLst>
      <dgm:bg/>
      <dgm:whole/>
    </dgm:dataModel>
  </dgm:styleData>
  <dgm:clrData>
    <dgm:dataModel>
      <dgm:ptLst>
        <dgm:pt modelId="0" type="doc"/>
        <dgm:pt modelId="10">
          <dgm:prSet phldr="1"/>
        </dgm:pt>
      </dgm:ptLst>
      <dgm:cxnLst>
        <dgm:cxn modelId="20" srcId="0" destId="10" srcOrd="0" destOrd="0"/>
      </dgm:cxnLst>
      <dgm:bg/>
      <dgm:whole/>
    </dgm:dataModel>
  </dgm:clrData>
  <dgm:layoutNode name="Name0">
    <dgm:varLst>
      <dgm:chMax/>
      <dgm:chPref/>
      <dgm:dir/>
    </dgm:varLst>
    <dgm:choose name="Name1">
      <dgm:if name="Name2" func="var" arg="dir" op="equ" val="norm">
        <dgm:alg type="snake">
          <dgm:param type="grDir" val="tL"/>
          <dgm:param type="off" val="ctr"/>
        </dgm:alg>
      </dgm:if>
      <dgm:else name="Name3">
        <dgm:alg type="snake">
          <dgm:param type="grDir" val="tR"/>
          <dgm:param type="off" val="ctr"/>
        </dgm:alg>
      </dgm:else>
    </dgm:choose>
    <dgm:shape xmlns:r="http://schemas.openxmlformats.org/officeDocument/2006/relationships" r:blip="">
      <dgm:adjLst/>
    </dgm:shape>
    <dgm:constrLst>
      <dgm:constr type="w" for="ch" forName="composite" refType="w"/>
      <dgm:constr type="h" for="ch" forName="composite" refType="h"/>
      <dgm:constr type="primFontSz" for="des" ptType="node" op="equ" val="65"/>
      <dgm:constr type="sp" refType="w" refFor="ch" refForName="composite" op="equ" fact="0.1"/>
      <dgm:constr type="w" for="ch" forName="sibTrans" refType="w" refFor="ch" refForName="composite" op="equ" fact="0.1"/>
      <dgm:constr type="h" for="ch" forName="sibTrans" refType="w" refFor="ch" refForName="sibTrans" op="equ"/>
    </dgm:constrLst>
    <dgm:forEach name="nodesForEach" axis="ch" ptType="node">
      <dgm:layoutNode name="composite">
        <dgm:varLst>
          <dgm:chMax/>
          <dgm:chPref/>
        </dgm:varLst>
        <dgm:alg type="composite">
          <dgm:param type="ar" val="1.5179"/>
        </dgm:alg>
        <dgm:shape xmlns:r="http://schemas.openxmlformats.org/officeDocument/2006/relationships" r:blip="">
          <dgm:adjLst/>
        </dgm:shape>
        <dgm:choose name="Name4">
          <dgm:if name="Name5" func="var" arg="dir" op="equ" val="norm">
            <dgm:constrLst>
              <dgm:constr type="l" for="ch" forName="Image" refType="w" fact="0"/>
              <dgm:constr type="t" for="ch" forName="Image" refType="h" fact="0"/>
              <dgm:constr type="w" for="ch" forName="Image" refType="w" fact="0.3856"/>
              <dgm:constr type="h" for="ch" forName="Image" refType="h" fact="0.3902"/>
              <dgm:constr type="l" for="ch" forName="ParentText" refType="w" fact="0.4017"/>
              <dgm:constr type="t" for="ch" forName="ParentText" refType="h" fact="0.4146"/>
              <dgm:constr type="w" for="ch" forName="ParentText" refType="w" fact="0.5463"/>
              <dgm:constr type="h" for="ch" forName="ParentText" refType="h" fact="0.5122"/>
              <dgm:constr type="l" for="ch" forName="tlFrame" refType="w" fact="0.3535"/>
              <dgm:constr type="t" for="ch" forName="tlFrame" refType="h" fact="0.3415"/>
              <dgm:constr type="w" for="ch" forName="tlFrame" refType="w" fact="0.1312"/>
              <dgm:constr type="h" for="ch" forName="tlFrame" refType="h" fact="0.1992"/>
              <dgm:constr type="l" for="ch" forName="trFrame" refType="w" fact="0.8688"/>
              <dgm:constr type="t" for="ch" forName="trFrame" refType="h" fact="0.3415"/>
              <dgm:constr type="w" for="ch" forName="trFrame" refType="w" fact="0.1312"/>
              <dgm:constr type="h" for="ch" forName="trFrame" refType="h" fact="0.1992"/>
              <dgm:constr type="l" for="ch" forName="blFrame" refType="w" fact="0.3535"/>
              <dgm:constr type="t" for="ch" forName="blFrame" refType="h" fact="0.8008"/>
              <dgm:constr type="w" for="ch" forName="blFrame" refType="w" fact="0.1312"/>
              <dgm:constr type="h" for="ch" forName="blFrame" refType="h" fact="0.1992"/>
              <dgm:constr type="l" for="ch" forName="brFrame" refType="w" fact="0.8688"/>
              <dgm:constr type="t" for="ch" forName="brFrame" refType="h" fact="0.8008"/>
              <dgm:constr type="w" for="ch" forName="brFrame" refType="w" fact="0.1312"/>
              <dgm:constr type="h" for="ch" forName="brFrame" refType="h" fact="0.1992"/>
            </dgm:constrLst>
          </dgm:if>
          <dgm:else name="Name6">
            <dgm:constrLst>
              <dgm:constr type="l" for="ch" forName="Image" refType="w" fact="0.6144"/>
              <dgm:constr type="t" for="ch" forName="Image" refType="h" fact="0"/>
              <dgm:constr type="w" for="ch" forName="Image" refType="w" fact="0.3856"/>
              <dgm:constr type="h" for="ch" forName="Image" refType="h" fact="0.3902"/>
              <dgm:constr type="l" for="ch" forName="ParentText" refType="w" fact="0.0482"/>
              <dgm:constr type="t" for="ch" forName="ParentText" refType="h" fact="0.4146"/>
              <dgm:constr type="w" for="ch" forName="ParentText" refType="w" fact="0.5463"/>
              <dgm:constr type="h" for="ch" forName="ParentText" refType="h" fact="0.5122"/>
              <dgm:constr type="l" for="ch" forName="tlFrame" refType="w" fact="0"/>
              <dgm:constr type="t" for="ch" forName="tlFrame" refType="h" fact="0.3415"/>
              <dgm:constr type="w" for="ch" forName="tlFrame" refType="w" fact="0.1312"/>
              <dgm:constr type="h" for="ch" forName="tlFrame" refType="h" fact="0.1992"/>
              <dgm:constr type="l" for="ch" forName="trFrame" refType="w" fact="0.5153"/>
              <dgm:constr type="t" for="ch" forName="trFrame" refType="h" fact="0.3415"/>
              <dgm:constr type="w" for="ch" forName="trFrame" refType="w" fact="0.1312"/>
              <dgm:constr type="h" for="ch" forName="trFrame" refType="h" fact="0.1992"/>
              <dgm:constr type="l" for="ch" forName="blFrame" refType="w" fact="0"/>
              <dgm:constr type="t" for="ch" forName="blFrame" refType="h" fact="0.8008"/>
              <dgm:constr type="w" for="ch" forName="blFrame" refType="w" fact="0.1312"/>
              <dgm:constr type="h" for="ch" forName="blFrame" refType="h" fact="0.1992"/>
              <dgm:constr type="l" for="ch" forName="brFrame" refType="w" fact="0.5153"/>
              <dgm:constr type="t" for="ch" forName="brFrame" refType="h" fact="0.8008"/>
              <dgm:constr type="w" for="ch" forName="brFrame" refType="w" fact="0.1312"/>
              <dgm:constr type="h" for="ch" forName="brFrame" refType="h" fact="0.1992"/>
            </dgm:constrLst>
          </dgm:else>
        </dgm:choose>
        <dgm:layoutNode name="Image" styleLbl="bgImgPlace1">
          <dgm:alg type="sp"/>
          <dgm:shape xmlns:r="http://schemas.openxmlformats.org/officeDocument/2006/relationships" type="rect" r:blip="" blipPhldr="1">
            <dgm:adjLst/>
          </dgm:shape>
          <dgm:presOf/>
        </dgm:layoutNode>
        <dgm:layoutNode name="ParentText" styleLbl="revTx">
          <dgm:varLst>
            <dgm:chMax val="0"/>
            <dgm:chPref val="0"/>
            <dgm:bulletEnabled val="1"/>
          </dgm:varLst>
          <dgm:alg type="tx"/>
          <dgm:shape xmlns:r="http://schemas.openxmlformats.org/officeDocument/2006/relationships" type="rect" r:blip="">
            <dgm:adjLst/>
          </dgm:shape>
          <dgm:presOf axis="desOrSelf" ptType="node"/>
          <dgm:constrLst>
            <dgm:constr type="lMarg" refType="primFontSz" fact="0.3"/>
            <dgm:constr type="rMarg" refType="primFontSz" fact="0.3"/>
            <dgm:constr type="tMarg" refType="primFontSz" fact="0.3"/>
            <dgm:constr type="bMarg" refType="primFontSz" fact="0.3"/>
          </dgm:constrLst>
          <dgm:ruleLst>
            <dgm:rule type="primFontSz" val="5" fact="NaN" max="NaN"/>
          </dgm:ruleLst>
        </dgm:layoutNode>
        <dgm:layoutNode name="tlFrame" styleLbl="node1">
          <dgm:alg type="sp"/>
          <dgm:shape xmlns:r="http://schemas.openxmlformats.org/officeDocument/2006/relationships" type="halfFrame" r:blip="">
            <dgm:adjLst>
              <dgm:adj idx="1" val="0.2577"/>
              <dgm:adj idx="2" val="0.2577"/>
            </dgm:adjLst>
          </dgm:shape>
          <dgm:presOf/>
        </dgm:layoutNode>
        <dgm:layoutNode name="trFrame" styleLbl="node1">
          <dgm:alg type="sp"/>
          <dgm:shape xmlns:r="http://schemas.openxmlformats.org/officeDocument/2006/relationships" rot="90" type="halfFrame" r:blip="">
            <dgm:adjLst>
              <dgm:adj idx="1" val="0.2577"/>
              <dgm:adj idx="2" val="0.2577"/>
            </dgm:adjLst>
          </dgm:shape>
          <dgm:presOf/>
        </dgm:layoutNode>
        <dgm:layoutNode name="blFrame" styleLbl="node1">
          <dgm:alg type="sp"/>
          <dgm:shape xmlns:r="http://schemas.openxmlformats.org/officeDocument/2006/relationships" rot="270" type="halfFrame" r:blip="">
            <dgm:adjLst>
              <dgm:adj idx="1" val="0.2577"/>
              <dgm:adj idx="2" val="0.2577"/>
            </dgm:adjLst>
          </dgm:shape>
          <dgm:presOf/>
        </dgm:layoutNode>
        <dgm:layoutNode name="brFrame" styleLbl="node1">
          <dgm:alg type="sp"/>
          <dgm:shape xmlns:r="http://schemas.openxmlformats.org/officeDocument/2006/relationships" rot="180" type="halfFrame" r:blip="">
            <dgm:adjLst>
              <dgm:adj idx="1" val="0.2577"/>
              <dgm:adj idx="2" val="0.2577"/>
            </dgm:adjLst>
          </dgm:shape>
          <dgm:presOf/>
        </dgm:layoutNode>
      </dgm:layoutNode>
      <dgm:forEach name="sibTransForEach" axis="followSib" ptType="sibTrans" cnt="1">
        <dgm:layoutNode name="sibTrans">
          <dgm:alg type="sp"/>
          <dgm:shape xmlns:r="http://schemas.openxmlformats.org/officeDocument/2006/relationships" r:blip="">
            <dgm:adjLst/>
          </dgm:shape>
        </dgm:layoutNode>
      </dgm:forEach>
    </dgm:forEach>
  </dgm:layoutNode>
</dgm:layoutDef>
</file>

<file path=xl/diagrams/quickStyle1.xml><?xml version="1.0" encoding="utf-8"?>
<dgm:styleDef xmlns:dgm="http://schemas.openxmlformats.org/drawingml/2006/diagram" xmlns:a="http://schemas.openxmlformats.org/drawingml/2006/main" uniqueId="urn:microsoft.com/office/officeart/2005/8/quickstyle/simple1">
  <dgm:title val=""/>
  <dgm:desc val=""/>
  <dgm:catLst>
    <dgm:cat type="simple" pri="10100"/>
  </dgm:catLst>
  <dgm:scene3d>
    <a:camera prst="orthographicFront"/>
    <a:lightRig rig="threePt" dir="t"/>
  </dgm:scene3d>
  <dgm:styleLbl name="node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l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ven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tx1"/>
      </a:fontRef>
    </dgm:style>
  </dgm:styleLbl>
  <dgm:styleLbl name="alig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b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sib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sst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1D1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con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dk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iagrams/quickStyle2.xml><?xml version="1.0" encoding="utf-8"?>
<dgm:styleDef xmlns:dgm="http://schemas.openxmlformats.org/drawingml/2006/diagram" xmlns:a="http://schemas.openxmlformats.org/drawingml/2006/main" uniqueId="urn:microsoft.com/office/officeart/2005/8/quickstyle/simple1">
  <dgm:title val=""/>
  <dgm:desc val=""/>
  <dgm:catLst>
    <dgm:cat type="simple" pri="10100"/>
  </dgm:catLst>
  <dgm:scene3d>
    <a:camera prst="orthographicFront"/>
    <a:lightRig rig="threePt" dir="t"/>
  </dgm:scene3d>
  <dgm:styleLbl name="node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l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ven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tx1"/>
      </a:fontRef>
    </dgm:style>
  </dgm:styleLbl>
  <dgm:styleLbl name="alig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b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sib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sst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1D1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con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dk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iagrams/quickStyle3.xml><?xml version="1.0" encoding="utf-8"?>
<dgm:styleDef xmlns:dgm="http://schemas.openxmlformats.org/drawingml/2006/diagram" xmlns:a="http://schemas.openxmlformats.org/drawingml/2006/main" uniqueId="urn:microsoft.com/office/officeart/2005/8/quickstyle/simple1">
  <dgm:title val=""/>
  <dgm:desc val=""/>
  <dgm:catLst>
    <dgm:cat type="simple" pri="10100"/>
  </dgm:catLst>
  <dgm:scene3d>
    <a:camera prst="orthographicFront"/>
    <a:lightRig rig="threePt" dir="t"/>
  </dgm:scene3d>
  <dgm:styleLbl name="node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l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ven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tx1"/>
      </a:fontRef>
    </dgm:style>
  </dgm:styleLbl>
  <dgm:styleLbl name="alig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b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sib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sst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1D1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con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dk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diagramQuickStyle" Target="../diagrams/quickStyle1.xml"/><Relationship Id="rId2" Type="http://schemas.openxmlformats.org/officeDocument/2006/relationships/diagramLayout" Target="../diagrams/layout1.xml"/><Relationship Id="rId1" Type="http://schemas.openxmlformats.org/officeDocument/2006/relationships/diagramData" Target="../diagrams/data1.xml"/><Relationship Id="rId5" Type="http://schemas.microsoft.com/office/2007/relationships/diagramDrawing" Target="../diagrams/drawing1.xml"/><Relationship Id="rId4" Type="http://schemas.openxmlformats.org/officeDocument/2006/relationships/diagramColors" Target="../diagrams/colors1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7.xml"/><Relationship Id="rId13" Type="http://schemas.openxmlformats.org/officeDocument/2006/relationships/image" Target="../media/image6.png"/><Relationship Id="rId18" Type="http://schemas.openxmlformats.org/officeDocument/2006/relationships/diagramLayout" Target="../diagrams/layout2.xml"/><Relationship Id="rId3" Type="http://schemas.openxmlformats.org/officeDocument/2006/relationships/chart" Target="../charts/chart3.xml"/><Relationship Id="rId21" Type="http://schemas.microsoft.com/office/2007/relationships/diagramDrawing" Target="../diagrams/drawing2.xml"/><Relationship Id="rId7" Type="http://schemas.openxmlformats.org/officeDocument/2006/relationships/image" Target="../media/image1.emf"/><Relationship Id="rId12" Type="http://schemas.openxmlformats.org/officeDocument/2006/relationships/image" Target="../media/image5.svg"/><Relationship Id="rId17" Type="http://schemas.openxmlformats.org/officeDocument/2006/relationships/diagramData" Target="../diagrams/data2.xml"/><Relationship Id="rId2" Type="http://schemas.openxmlformats.org/officeDocument/2006/relationships/chart" Target="../charts/chart2.xml"/><Relationship Id="rId16" Type="http://schemas.openxmlformats.org/officeDocument/2006/relationships/chart" Target="../charts/chart9.xml"/><Relationship Id="rId20" Type="http://schemas.openxmlformats.org/officeDocument/2006/relationships/diagramColors" Target="../diagrams/colors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image" Target="../media/image4.png"/><Relationship Id="rId5" Type="http://schemas.openxmlformats.org/officeDocument/2006/relationships/chart" Target="../charts/chart5.xml"/><Relationship Id="rId15" Type="http://schemas.openxmlformats.org/officeDocument/2006/relationships/chart" Target="../charts/chart8.xml"/><Relationship Id="rId10" Type="http://schemas.openxmlformats.org/officeDocument/2006/relationships/image" Target="../media/image3.svg"/><Relationship Id="rId19" Type="http://schemas.openxmlformats.org/officeDocument/2006/relationships/diagramQuickStyle" Target="../diagrams/quickStyle2.xml"/><Relationship Id="rId4" Type="http://schemas.openxmlformats.org/officeDocument/2006/relationships/chart" Target="../charts/chart4.xml"/><Relationship Id="rId9" Type="http://schemas.openxmlformats.org/officeDocument/2006/relationships/image" Target="../media/image2.png"/><Relationship Id="rId14" Type="http://schemas.openxmlformats.org/officeDocument/2006/relationships/image" Target="../media/image7.sv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png"/><Relationship Id="rId13" Type="http://schemas.openxmlformats.org/officeDocument/2006/relationships/image" Target="../media/image7.svg"/><Relationship Id="rId18" Type="http://schemas.openxmlformats.org/officeDocument/2006/relationships/diagramLayout" Target="../diagrams/layout3.xml"/><Relationship Id="rId3" Type="http://schemas.openxmlformats.org/officeDocument/2006/relationships/chart" Target="../charts/chart12.xml"/><Relationship Id="rId21" Type="http://schemas.microsoft.com/office/2007/relationships/diagramDrawing" Target="../diagrams/drawing3.xml"/><Relationship Id="rId7" Type="http://schemas.openxmlformats.org/officeDocument/2006/relationships/chart" Target="../charts/chart16.xml"/><Relationship Id="rId12" Type="http://schemas.openxmlformats.org/officeDocument/2006/relationships/image" Target="../media/image6.png"/><Relationship Id="rId17" Type="http://schemas.openxmlformats.org/officeDocument/2006/relationships/diagramData" Target="../diagrams/data3.xml"/><Relationship Id="rId2" Type="http://schemas.openxmlformats.org/officeDocument/2006/relationships/chart" Target="../charts/chart11.xml"/><Relationship Id="rId16" Type="http://schemas.openxmlformats.org/officeDocument/2006/relationships/chart" Target="../charts/chart18.xml"/><Relationship Id="rId20" Type="http://schemas.openxmlformats.org/officeDocument/2006/relationships/diagramColors" Target="../diagrams/colors3.xml"/><Relationship Id="rId1" Type="http://schemas.openxmlformats.org/officeDocument/2006/relationships/chart" Target="../charts/chart10.xml"/><Relationship Id="rId6" Type="http://schemas.openxmlformats.org/officeDocument/2006/relationships/chart" Target="../charts/chart15.xml"/><Relationship Id="rId11" Type="http://schemas.openxmlformats.org/officeDocument/2006/relationships/image" Target="../media/image5.svg"/><Relationship Id="rId5" Type="http://schemas.openxmlformats.org/officeDocument/2006/relationships/chart" Target="../charts/chart14.xml"/><Relationship Id="rId15" Type="http://schemas.openxmlformats.org/officeDocument/2006/relationships/image" Target="../media/image9.emf"/><Relationship Id="rId10" Type="http://schemas.openxmlformats.org/officeDocument/2006/relationships/image" Target="../media/image4.png"/><Relationship Id="rId19" Type="http://schemas.openxmlformats.org/officeDocument/2006/relationships/diagramQuickStyle" Target="../diagrams/quickStyle3.xml"/><Relationship Id="rId4" Type="http://schemas.openxmlformats.org/officeDocument/2006/relationships/chart" Target="../charts/chart13.xml"/><Relationship Id="rId9" Type="http://schemas.openxmlformats.org/officeDocument/2006/relationships/image" Target="../media/image3.svg"/><Relationship Id="rId14" Type="http://schemas.openxmlformats.org/officeDocument/2006/relationships/chart" Target="../charts/chart17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0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136553</xdr:colOff>
      <xdr:row>5</xdr:row>
      <xdr:rowOff>38100</xdr:rowOff>
    </xdr:from>
    <xdr:to>
      <xdr:col>0</xdr:col>
      <xdr:colOff>930248</xdr:colOff>
      <xdr:row>6</xdr:row>
      <xdr:rowOff>38100</xdr:rowOff>
    </xdr:to>
    <xdr:sp macro="[0]!pAtualizar" textlink="">
      <xdr:nvSpPr>
        <xdr:cNvPr id="8" name="Retângulo: Cantos Arredondados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136553" y="990600"/>
          <a:ext cx="793695" cy="190500"/>
        </a:xfrm>
        <a:prstGeom prst="roundRect">
          <a:avLst>
            <a:gd name="adj" fmla="val 50000"/>
          </a:avLst>
        </a:prstGeom>
        <a:solidFill>
          <a:srgbClr val="262626"/>
        </a:solidFill>
        <a:ln>
          <a:noFill/>
        </a:ln>
        <a:effectLst>
          <a:outerShdw blurRad="50800" dist="38100" dir="8100000" algn="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800" b="1">
              <a:solidFill>
                <a:schemeClr val="bg2"/>
              </a:solidFill>
            </a:rPr>
            <a:t>Atualizar</a:t>
          </a:r>
        </a:p>
      </xdr:txBody>
    </xdr:sp>
    <xdr:clientData/>
  </xdr:twoCellAnchor>
  <xdr:twoCellAnchor>
    <xdr:from>
      <xdr:col>0</xdr:col>
      <xdr:colOff>409575</xdr:colOff>
      <xdr:row>0</xdr:row>
      <xdr:rowOff>133350</xdr:rowOff>
    </xdr:from>
    <xdr:to>
      <xdr:col>2</xdr:col>
      <xdr:colOff>438150</xdr:colOff>
      <xdr:row>5</xdr:row>
      <xdr:rowOff>19050</xdr:rowOff>
    </xdr:to>
    <xdr:graphicFrame macro="">
      <xdr:nvGraphicFramePr>
        <xdr:cNvPr id="6" name="Diagrama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diagram">
          <dgm:relIds xmlns:dgm="http://schemas.openxmlformats.org/drawingml/2006/diagram" xmlns:r="http://schemas.openxmlformats.org/officeDocument/2006/relationships" r:dm="rId1" r:lo="rId2" r:qs="rId3" r:cs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76189</xdr:colOff>
      <xdr:row>0</xdr:row>
      <xdr:rowOff>66675</xdr:rowOff>
    </xdr:from>
    <xdr:to>
      <xdr:col>19</xdr:col>
      <xdr:colOff>19050</xdr:colOff>
      <xdr:row>41</xdr:row>
      <xdr:rowOff>19050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1295389" y="66675"/>
          <a:ext cx="9696461" cy="661987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oneCellAnchor>
    <xdr:from>
      <xdr:col>6</xdr:col>
      <xdr:colOff>61069</xdr:colOff>
      <xdr:row>0</xdr:row>
      <xdr:rowOff>95250</xdr:rowOff>
    </xdr:from>
    <xdr:ext cx="7784119" cy="781111"/>
    <xdr:sp macro="" textlink="">
      <xdr:nvSpPr>
        <xdr:cNvPr id="3" name="Retângulo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3109069" y="95250"/>
          <a:ext cx="7784119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pt-BR" sz="4400" b="1" cap="none" spc="0">
              <a:ln/>
              <a:pattFill prst="dkUpDiag">
                <a:fgClr>
                  <a:schemeClr val="bg1">
                    <a:lumMod val="50000"/>
                  </a:schemeClr>
                </a:fgClr>
                <a:bgClr>
                  <a:schemeClr val="tx1">
                    <a:lumMod val="75000"/>
                    <a:lumOff val="25000"/>
                  </a:schemeClr>
                </a:bgClr>
              </a:pattFill>
              <a:effectLst>
                <a:outerShdw blurRad="38100" dist="19050" dir="2700000" algn="tl" rotWithShape="0">
                  <a:schemeClr val="dk1">
                    <a:lumMod val="50000"/>
                    <a:alpha val="40000"/>
                  </a:schemeClr>
                </a:outerShdw>
              </a:effectLst>
            </a:rPr>
            <a:t>DASHBOARD </a:t>
          </a:r>
          <a:r>
            <a:rPr lang="pt-BR" sz="3200" b="1" cap="none" spc="0">
              <a:ln/>
              <a:solidFill>
                <a:schemeClr val="accent2"/>
              </a:solidFill>
              <a:effectLst>
                <a:outerShdw blurRad="50800" dist="38100" dir="8100000" algn="tr" rotWithShape="0">
                  <a:prstClr val="black">
                    <a:alpha val="40000"/>
                  </a:prstClr>
                </a:outerShdw>
              </a:effectLst>
            </a:rPr>
            <a:t>ATENDIMENTO COMPRAS</a:t>
          </a:r>
          <a:endParaRPr lang="pt-BR" sz="4400" b="1" cap="none" spc="0">
            <a:ln/>
            <a:solidFill>
              <a:schemeClr val="accent2"/>
            </a:solidFill>
            <a:effectLst>
              <a:outerShdw blurRad="50800" dist="38100" dir="8100000" algn="tr" rotWithShape="0">
                <a:prstClr val="black">
                  <a:alpha val="40000"/>
                </a:prstClr>
              </a:outerShdw>
            </a:effectLst>
          </a:endParaRPr>
        </a:p>
      </xdr:txBody>
    </xdr:sp>
    <xdr:clientData/>
  </xdr:oneCellAnchor>
  <xdr:twoCellAnchor>
    <xdr:from>
      <xdr:col>12</xdr:col>
      <xdr:colOff>485775</xdr:colOff>
      <xdr:row>28</xdr:row>
      <xdr:rowOff>161925</xdr:rowOff>
    </xdr:from>
    <xdr:to>
      <xdr:col>18</xdr:col>
      <xdr:colOff>447675</xdr:colOff>
      <xdr:row>40</xdr:row>
      <xdr:rowOff>61912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133348</xdr:colOff>
      <xdr:row>6</xdr:row>
      <xdr:rowOff>9525</xdr:rowOff>
    </xdr:from>
    <xdr:to>
      <xdr:col>18</xdr:col>
      <xdr:colOff>552449</xdr:colOff>
      <xdr:row>17</xdr:row>
      <xdr:rowOff>9526</xdr:rowOff>
    </xdr:to>
    <xdr:sp macro="" textlink="">
      <xdr:nvSpPr>
        <xdr:cNvPr id="7" name="Retângulo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>
        <a:xfrm>
          <a:off x="1352548" y="1152525"/>
          <a:ext cx="9563101" cy="2095501"/>
        </a:xfrm>
        <a:prstGeom prst="rect">
          <a:avLst/>
        </a:prstGeom>
        <a:solidFill>
          <a:schemeClr val="bg1"/>
        </a:solidFill>
        <a:ln>
          <a:noFill/>
        </a:ln>
        <a:effectLst>
          <a:outerShdw blurRad="50800" dist="38100" dir="8100000" algn="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3</xdr:col>
      <xdr:colOff>152401</xdr:colOff>
      <xdr:row>17</xdr:row>
      <xdr:rowOff>152400</xdr:rowOff>
    </xdr:from>
    <xdr:to>
      <xdr:col>18</xdr:col>
      <xdr:colOff>552450</xdr:colOff>
      <xdr:row>28</xdr:row>
      <xdr:rowOff>38100</xdr:rowOff>
    </xdr:to>
    <xdr:sp macro="" textlink="">
      <xdr:nvSpPr>
        <xdr:cNvPr id="8" name="Retângulo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1371601" y="3390900"/>
          <a:ext cx="9544049" cy="1219200"/>
        </a:xfrm>
        <a:prstGeom prst="rect">
          <a:avLst/>
        </a:prstGeom>
        <a:solidFill>
          <a:schemeClr val="bg1"/>
        </a:solidFill>
        <a:ln>
          <a:noFill/>
        </a:ln>
        <a:effectLst>
          <a:outerShdw blurRad="50800" dist="38100" dir="8100000" algn="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</xdr:col>
      <xdr:colOff>142875</xdr:colOff>
      <xdr:row>9</xdr:row>
      <xdr:rowOff>152399</xdr:rowOff>
    </xdr:from>
    <xdr:to>
      <xdr:col>6</xdr:col>
      <xdr:colOff>47625</xdr:colOff>
      <xdr:row>11</xdr:row>
      <xdr:rowOff>76199</xdr:rowOff>
    </xdr:to>
    <xdr:sp macro="" textlink="">
      <xdr:nvSpPr>
        <xdr:cNvPr id="9" name="CaixaDeTexto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 txBox="1"/>
      </xdr:nvSpPr>
      <xdr:spPr>
        <a:xfrm>
          <a:off x="1971675" y="1609724"/>
          <a:ext cx="1123950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000" b="1" cap="none" spc="0">
              <a:ln w="0"/>
              <a:solidFill>
                <a:schemeClr val="tx1">
                  <a:lumMod val="65000"/>
                  <a:lumOff val="3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CONCLUÍDO</a:t>
          </a:r>
        </a:p>
      </xdr:txBody>
    </xdr:sp>
    <xdr:clientData/>
  </xdr:twoCellAnchor>
  <xdr:twoCellAnchor>
    <xdr:from>
      <xdr:col>8</xdr:col>
      <xdr:colOff>514350</xdr:colOff>
      <xdr:row>29</xdr:row>
      <xdr:rowOff>1</xdr:rowOff>
    </xdr:from>
    <xdr:to>
      <xdr:col>14</xdr:col>
      <xdr:colOff>76200</xdr:colOff>
      <xdr:row>40</xdr:row>
      <xdr:rowOff>114301</xdr:rowOff>
    </xdr:to>
    <xdr:sp macro="" textlink="">
      <xdr:nvSpPr>
        <xdr:cNvPr id="10" name="Retângulo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>
        <a:xfrm>
          <a:off x="4781550" y="4695826"/>
          <a:ext cx="3219450" cy="1895475"/>
        </a:xfrm>
        <a:prstGeom prst="rect">
          <a:avLst/>
        </a:prstGeom>
        <a:solidFill>
          <a:schemeClr val="bg1"/>
        </a:solidFill>
        <a:ln>
          <a:noFill/>
        </a:ln>
        <a:effectLst>
          <a:outerShdw blurRad="50800" dist="38100" dir="8100000" algn="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3</xdr:col>
      <xdr:colOff>161927</xdr:colOff>
      <xdr:row>28</xdr:row>
      <xdr:rowOff>161924</xdr:rowOff>
    </xdr:from>
    <xdr:to>
      <xdr:col>8</xdr:col>
      <xdr:colOff>332327</xdr:colOff>
      <xdr:row>40</xdr:row>
      <xdr:rowOff>114299</xdr:rowOff>
    </xdr:to>
    <xdr:sp macro="" textlink="">
      <xdr:nvSpPr>
        <xdr:cNvPr id="11" name="Retângulo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/>
      </xdr:nvSpPr>
      <xdr:spPr>
        <a:xfrm>
          <a:off x="1381127" y="4695824"/>
          <a:ext cx="3218400" cy="1895475"/>
        </a:xfrm>
        <a:prstGeom prst="rect">
          <a:avLst/>
        </a:prstGeom>
        <a:solidFill>
          <a:schemeClr val="bg1"/>
        </a:solidFill>
        <a:ln>
          <a:noFill/>
        </a:ln>
        <a:effectLst>
          <a:outerShdw blurRad="50800" dist="38100" dir="8100000" algn="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8</xdr:col>
      <xdr:colOff>561975</xdr:colOff>
      <xdr:row>17</xdr:row>
      <xdr:rowOff>133351</xdr:rowOff>
    </xdr:from>
    <xdr:to>
      <xdr:col>18</xdr:col>
      <xdr:colOff>495300</xdr:colOff>
      <xdr:row>28</xdr:row>
      <xdr:rowOff>66675</xdr:rowOff>
    </xdr:to>
    <xdr:graphicFrame macro="">
      <xdr:nvGraphicFramePr>
        <xdr:cNvPr id="12" name="Gráfico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114300</xdr:colOff>
      <xdr:row>14</xdr:row>
      <xdr:rowOff>33338</xdr:rowOff>
    </xdr:from>
    <xdr:to>
      <xdr:col>6</xdr:col>
      <xdr:colOff>38100</xdr:colOff>
      <xdr:row>15</xdr:row>
      <xdr:rowOff>119063</xdr:rowOff>
    </xdr:to>
    <xdr:sp macro="" textlink="">
      <xdr:nvSpPr>
        <xdr:cNvPr id="17" name="CaixaDeTexto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SpPr txBox="1"/>
      </xdr:nvSpPr>
      <xdr:spPr>
        <a:xfrm>
          <a:off x="1943100" y="2300288"/>
          <a:ext cx="1143000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000" b="1" cap="none" spc="0">
              <a:ln w="0"/>
              <a:solidFill>
                <a:schemeClr val="tx1">
                  <a:lumMod val="65000"/>
                  <a:lumOff val="3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EM</a:t>
          </a:r>
          <a:r>
            <a:rPr lang="pt-BR" sz="1000" b="1" cap="none" spc="0" baseline="0">
              <a:ln w="0"/>
              <a:solidFill>
                <a:schemeClr val="tx1">
                  <a:lumMod val="65000"/>
                  <a:lumOff val="3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ANDAMENTO</a:t>
          </a:r>
          <a:endParaRPr lang="pt-BR" sz="1000" b="1" cap="none" spc="0">
            <a:ln w="0"/>
            <a:solidFill>
              <a:schemeClr val="tx1">
                <a:lumMod val="65000"/>
                <a:lumOff val="35000"/>
              </a:schemeClr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8</xdr:col>
      <xdr:colOff>219075</xdr:colOff>
      <xdr:row>9</xdr:row>
      <xdr:rowOff>152024</xdr:rowOff>
    </xdr:from>
    <xdr:to>
      <xdr:col>10</xdr:col>
      <xdr:colOff>87075</xdr:colOff>
      <xdr:row>11</xdr:row>
      <xdr:rowOff>76574</xdr:rowOff>
    </xdr:to>
    <xdr:sp macro="" textlink="">
      <xdr:nvSpPr>
        <xdr:cNvPr id="18" name="CaixaDeTexto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SpPr txBox="1"/>
      </xdr:nvSpPr>
      <xdr:spPr>
        <a:xfrm>
          <a:off x="4486275" y="1609349"/>
          <a:ext cx="1087200" cy="248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000" b="1" cap="none" spc="0">
              <a:ln w="0"/>
              <a:solidFill>
                <a:schemeClr val="tx1">
                  <a:lumMod val="65000"/>
                  <a:lumOff val="3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PENDENTE</a:t>
          </a:r>
        </a:p>
      </xdr:txBody>
    </xdr:sp>
    <xdr:clientData/>
  </xdr:twoCellAnchor>
  <xdr:twoCellAnchor>
    <xdr:from>
      <xdr:col>4</xdr:col>
      <xdr:colOff>9524</xdr:colOff>
      <xdr:row>11</xdr:row>
      <xdr:rowOff>28575</xdr:rowOff>
    </xdr:from>
    <xdr:to>
      <xdr:col>6</xdr:col>
      <xdr:colOff>180976</xdr:colOff>
      <xdr:row>13</xdr:row>
      <xdr:rowOff>28575</xdr:rowOff>
    </xdr:to>
    <xdr:graphicFrame macro="">
      <xdr:nvGraphicFramePr>
        <xdr:cNvPr id="20" name="Gráfico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47623</xdr:colOff>
      <xdr:row>11</xdr:row>
      <xdr:rowOff>95250</xdr:rowOff>
    </xdr:from>
    <xdr:to>
      <xdr:col>7</xdr:col>
      <xdr:colOff>86023</xdr:colOff>
      <xdr:row>12</xdr:row>
      <xdr:rowOff>152399</xdr:rowOff>
    </xdr:to>
    <xdr:sp macro="" textlink="'Análise Geral'!Z3">
      <xdr:nvSpPr>
        <xdr:cNvPr id="21" name="CaixaDeTexto 20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SpPr txBox="1"/>
      </xdr:nvSpPr>
      <xdr:spPr>
        <a:xfrm>
          <a:off x="3095623" y="1876425"/>
          <a:ext cx="648000" cy="2190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0610D1D-71CE-4406-9457-8EABC6CF4B1F}" type="TxLink">
            <a:rPr lang="en-US" sz="900" b="1" i="0" u="none" strike="noStrike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Trebuchet MS"/>
              <a:cs typeface="Calibri"/>
            </a:rPr>
            <a:pPr algn="ctr"/>
            <a:t>48,15%</a:t>
          </a:fld>
          <a:endParaRPr lang="pt-BR" sz="900" b="1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3</xdr:col>
      <xdr:colOff>590549</xdr:colOff>
      <xdr:row>15</xdr:row>
      <xdr:rowOff>38100</xdr:rowOff>
    </xdr:from>
    <xdr:to>
      <xdr:col>6</xdr:col>
      <xdr:colOff>152401</xdr:colOff>
      <xdr:row>17</xdr:row>
      <xdr:rowOff>38100</xdr:rowOff>
    </xdr:to>
    <xdr:graphicFrame macro="">
      <xdr:nvGraphicFramePr>
        <xdr:cNvPr id="22" name="Gráfico 21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28573</xdr:colOff>
      <xdr:row>15</xdr:row>
      <xdr:rowOff>104775</xdr:rowOff>
    </xdr:from>
    <xdr:to>
      <xdr:col>7</xdr:col>
      <xdr:colOff>66973</xdr:colOff>
      <xdr:row>16</xdr:row>
      <xdr:rowOff>161924</xdr:rowOff>
    </xdr:to>
    <xdr:sp macro="" textlink="'Análise Geral'!Z4">
      <xdr:nvSpPr>
        <xdr:cNvPr id="23" name="CaixaDeTexto 22">
          <a:extLs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SpPr txBox="1"/>
      </xdr:nvSpPr>
      <xdr:spPr>
        <a:xfrm>
          <a:off x="3076573" y="2533650"/>
          <a:ext cx="648000" cy="2190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8C5A628A-DB07-4E64-AF54-379857715863}" type="TxLink">
            <a:rPr lang="en-US" sz="900" b="1" i="0" u="none" strike="noStrike" cap="none" spc="0">
              <a:ln w="0"/>
              <a:solidFill>
                <a:srgbClr val="00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Trebuchet MS"/>
              <a:cs typeface="Calibri"/>
            </a:rPr>
            <a:pPr algn="ctr"/>
            <a:t>7,41%</a:t>
          </a:fld>
          <a:endParaRPr lang="pt-BR" sz="800" b="1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8</xdr:col>
      <xdr:colOff>66674</xdr:colOff>
      <xdr:row>11</xdr:row>
      <xdr:rowOff>19050</xdr:rowOff>
    </xdr:from>
    <xdr:to>
      <xdr:col>10</xdr:col>
      <xdr:colOff>238126</xdr:colOff>
      <xdr:row>13</xdr:row>
      <xdr:rowOff>19050</xdr:rowOff>
    </xdr:to>
    <xdr:graphicFrame macro="">
      <xdr:nvGraphicFramePr>
        <xdr:cNvPr id="24" name="Gráfico 23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10</xdr:col>
      <xdr:colOff>104774</xdr:colOff>
      <xdr:row>11</xdr:row>
      <xdr:rowOff>85725</xdr:rowOff>
    </xdr:from>
    <xdr:to>
      <xdr:col>11</xdr:col>
      <xdr:colOff>142875</xdr:colOff>
      <xdr:row>12</xdr:row>
      <xdr:rowOff>142874</xdr:rowOff>
    </xdr:to>
    <xdr:sp macro="" textlink="'Análise Geral'!Z5">
      <xdr:nvSpPr>
        <xdr:cNvPr id="25" name="CaixaDeTexto 24">
          <a:extLst>
            <a:ext uri="{FF2B5EF4-FFF2-40B4-BE49-F238E27FC236}">
              <a16:creationId xmlns:a16="http://schemas.microsoft.com/office/drawing/2014/main" id="{00000000-0008-0000-0100-000019000000}"/>
            </a:ext>
          </a:extLst>
        </xdr:cNvPr>
        <xdr:cNvSpPr txBox="1"/>
      </xdr:nvSpPr>
      <xdr:spPr>
        <a:xfrm>
          <a:off x="5591174" y="2181225"/>
          <a:ext cx="647701" cy="24764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8261B1FD-9419-4AC0-A21D-D99C6BD2C6C5}" type="TxLink">
            <a:rPr lang="en-US" sz="900" b="1" i="0" u="none" strike="noStrike" cap="none" spc="0">
              <a:ln w="0"/>
              <a:solidFill>
                <a:srgbClr val="00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Trebuchet MS"/>
              <a:cs typeface="Calibri"/>
            </a:rPr>
            <a:pPr algn="ctr"/>
            <a:t>37,04%</a:t>
          </a:fld>
          <a:endParaRPr lang="pt-BR" sz="800" b="1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8</xdr:col>
      <xdr:colOff>66674</xdr:colOff>
      <xdr:row>15</xdr:row>
      <xdr:rowOff>57150</xdr:rowOff>
    </xdr:from>
    <xdr:to>
      <xdr:col>10</xdr:col>
      <xdr:colOff>238126</xdr:colOff>
      <xdr:row>17</xdr:row>
      <xdr:rowOff>57150</xdr:rowOff>
    </xdr:to>
    <xdr:graphicFrame macro="">
      <xdr:nvGraphicFramePr>
        <xdr:cNvPr id="26" name="Gráfico 25">
          <a:extLs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10</xdr:col>
      <xdr:colOff>104774</xdr:colOff>
      <xdr:row>15</xdr:row>
      <xdr:rowOff>123825</xdr:rowOff>
    </xdr:from>
    <xdr:to>
      <xdr:col>11</xdr:col>
      <xdr:colOff>143174</xdr:colOff>
      <xdr:row>16</xdr:row>
      <xdr:rowOff>161924</xdr:rowOff>
    </xdr:to>
    <xdr:sp macro="" textlink="'Análise Geral'!Z6">
      <xdr:nvSpPr>
        <xdr:cNvPr id="27" name="CaixaDeTexto 26">
          <a:extLst>
            <a:ext uri="{FF2B5EF4-FFF2-40B4-BE49-F238E27FC236}">
              <a16:creationId xmlns:a16="http://schemas.microsoft.com/office/drawing/2014/main" id="{00000000-0008-0000-0100-00001B000000}"/>
            </a:ext>
          </a:extLst>
        </xdr:cNvPr>
        <xdr:cNvSpPr txBox="1"/>
      </xdr:nvSpPr>
      <xdr:spPr>
        <a:xfrm>
          <a:off x="5591174" y="2552700"/>
          <a:ext cx="648000" cy="2000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2224778-E131-4C17-AB52-573197BE6D2D}" type="TxLink">
            <a:rPr lang="en-US" sz="900" b="1" i="0" u="none" strike="noStrike" cap="none" spc="0">
              <a:ln w="0"/>
              <a:solidFill>
                <a:srgbClr val="00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Trebuchet MS"/>
              <a:cs typeface="Calibri"/>
            </a:rPr>
            <a:pPr algn="ctr"/>
            <a:t>7,41%</a:t>
          </a:fld>
          <a:endParaRPr lang="pt-BR" sz="800" b="1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266700</xdr:colOff>
          <xdr:row>19</xdr:row>
          <xdr:rowOff>123825</xdr:rowOff>
        </xdr:from>
        <xdr:to>
          <xdr:col>8</xdr:col>
          <xdr:colOff>457200</xdr:colOff>
          <xdr:row>27</xdr:row>
          <xdr:rowOff>57151</xdr:rowOff>
        </xdr:to>
        <xdr:pic>
          <xdr:nvPicPr>
            <xdr:cNvPr id="28" name="Imagem 27">
              <a:extLst>
                <a:ext uri="{FF2B5EF4-FFF2-40B4-BE49-F238E27FC236}">
                  <a16:creationId xmlns:a16="http://schemas.microsoft.com/office/drawing/2014/main" id="{00000000-0008-0000-0100-00001C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'Análise Geral'!$AB$2:$AE$7" spid="_x0000_s3047"/>
                </a:ext>
              </a:extLst>
            </xdr:cNvPicPr>
          </xdr:nvPicPr>
          <xdr:blipFill>
            <a:blip xmlns:r="http://schemas.openxmlformats.org/officeDocument/2006/relationships" r:embed="rId7"/>
            <a:srcRect/>
            <a:stretch>
              <a:fillRect/>
            </a:stretch>
          </xdr:blipFill>
          <xdr:spPr bwMode="auto">
            <a:xfrm>
              <a:off x="1485900" y="3200400"/>
              <a:ext cx="3238500" cy="1228726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16</xdr:col>
      <xdr:colOff>438150</xdr:colOff>
      <xdr:row>9</xdr:row>
      <xdr:rowOff>122823</xdr:rowOff>
    </xdr:from>
    <xdr:to>
      <xdr:col>18</xdr:col>
      <xdr:colOff>201028</xdr:colOff>
      <xdr:row>15</xdr:row>
      <xdr:rowOff>124828</xdr:rowOff>
    </xdr:to>
    <xdr:sp macro="" textlink="'Análise Geral'!Y1">
      <xdr:nvSpPr>
        <xdr:cNvPr id="29" name="Elipse 28">
          <a:extLst>
            <a:ext uri="{FF2B5EF4-FFF2-40B4-BE49-F238E27FC236}">
              <a16:creationId xmlns:a16="http://schemas.microsoft.com/office/drawing/2014/main" id="{00000000-0008-0000-0100-00001D000000}"/>
            </a:ext>
          </a:extLst>
        </xdr:cNvPr>
        <xdr:cNvSpPr/>
      </xdr:nvSpPr>
      <xdr:spPr>
        <a:xfrm>
          <a:off x="9582150" y="1580148"/>
          <a:ext cx="982078" cy="973555"/>
        </a:xfrm>
        <a:prstGeom prst="ellipse">
          <a:avLst/>
        </a:prstGeom>
        <a:solidFill>
          <a:schemeClr val="tx1">
            <a:lumMod val="50000"/>
            <a:lumOff val="50000"/>
          </a:schemeClr>
        </a:solidFill>
        <a:ln w="38100">
          <a:solidFill>
            <a:schemeClr val="accent2"/>
          </a:solidFill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8A6330AE-C673-4ED3-A36B-AFA5D4EDEF02}" type="TxLink">
            <a:rPr lang="en-US" sz="2000" b="0" i="0" u="none" strike="noStrike">
              <a:solidFill>
                <a:schemeClr val="bg1"/>
              </a:solidFill>
              <a:latin typeface="Trebuchet MS"/>
              <a:cs typeface="Calibri"/>
            </a:rPr>
            <a:pPr algn="ctr"/>
            <a:t>27</a:t>
          </a:fld>
          <a:endParaRPr lang="pt-B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522773</xdr:colOff>
      <xdr:row>6</xdr:row>
      <xdr:rowOff>65574</xdr:rowOff>
    </xdr:from>
    <xdr:to>
      <xdr:col>8</xdr:col>
      <xdr:colOff>504825</xdr:colOff>
      <xdr:row>7</xdr:row>
      <xdr:rowOff>95250</xdr:rowOff>
    </xdr:to>
    <xdr:sp macro="" textlink="">
      <xdr:nvSpPr>
        <xdr:cNvPr id="30" name="CaixaDeTexto 29">
          <a:extLst>
            <a:ext uri="{FF2B5EF4-FFF2-40B4-BE49-F238E27FC236}">
              <a16:creationId xmlns:a16="http://schemas.microsoft.com/office/drawing/2014/main" id="{00000000-0008-0000-0100-00001E000000}"/>
            </a:ext>
          </a:extLst>
        </xdr:cNvPr>
        <xdr:cNvSpPr txBox="1"/>
      </xdr:nvSpPr>
      <xdr:spPr>
        <a:xfrm>
          <a:off x="2961173" y="1208574"/>
          <a:ext cx="1810852" cy="2201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0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PERCENTUAL</a:t>
          </a:r>
          <a:r>
            <a:rPr lang="pt-BR" sz="1000" b="1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POR STATUS</a:t>
          </a:r>
          <a:endParaRPr lang="pt-BR" sz="1000" b="1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11</xdr:col>
      <xdr:colOff>246548</xdr:colOff>
      <xdr:row>11</xdr:row>
      <xdr:rowOff>56049</xdr:rowOff>
    </xdr:from>
    <xdr:to>
      <xdr:col>12</xdr:col>
      <xdr:colOff>581025</xdr:colOff>
      <xdr:row>12</xdr:row>
      <xdr:rowOff>76201</xdr:rowOff>
    </xdr:to>
    <xdr:sp macro="" textlink="">
      <xdr:nvSpPr>
        <xdr:cNvPr id="31" name="CaixaDeTexto 30">
          <a:extLst>
            <a:ext uri="{FF2B5EF4-FFF2-40B4-BE49-F238E27FC236}">
              <a16:creationId xmlns:a16="http://schemas.microsoft.com/office/drawing/2014/main" id="{00000000-0008-0000-0100-00001F000000}"/>
            </a:ext>
          </a:extLst>
        </xdr:cNvPr>
        <xdr:cNvSpPr txBox="1"/>
      </xdr:nvSpPr>
      <xdr:spPr>
        <a:xfrm>
          <a:off x="6342548" y="2151549"/>
          <a:ext cx="944077" cy="21065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pt-BR" sz="900" b="1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11</xdr:col>
      <xdr:colOff>219075</xdr:colOff>
      <xdr:row>9</xdr:row>
      <xdr:rowOff>73492</xdr:rowOff>
    </xdr:from>
    <xdr:to>
      <xdr:col>16</xdr:col>
      <xdr:colOff>342900</xdr:colOff>
      <xdr:row>17</xdr:row>
      <xdr:rowOff>97957</xdr:rowOff>
    </xdr:to>
    <xdr:graphicFrame macro="">
      <xdr:nvGraphicFramePr>
        <xdr:cNvPr id="32" name="Gráfico 31">
          <a:extLst>
            <a:ext uri="{FF2B5EF4-FFF2-40B4-BE49-F238E27FC236}">
              <a16:creationId xmlns:a16="http://schemas.microsoft.com/office/drawing/2014/main" id="{00000000-0008-0000-0100-00002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12</xdr:col>
      <xdr:colOff>447673</xdr:colOff>
      <xdr:row>6</xdr:row>
      <xdr:rowOff>57150</xdr:rowOff>
    </xdr:from>
    <xdr:to>
      <xdr:col>15</xdr:col>
      <xdr:colOff>429725</xdr:colOff>
      <xdr:row>7</xdr:row>
      <xdr:rowOff>86826</xdr:rowOff>
    </xdr:to>
    <xdr:sp macro="" textlink="">
      <xdr:nvSpPr>
        <xdr:cNvPr id="33" name="CaixaDeTexto 32">
          <a:extLst>
            <a:ext uri="{FF2B5EF4-FFF2-40B4-BE49-F238E27FC236}">
              <a16:creationId xmlns:a16="http://schemas.microsoft.com/office/drawing/2014/main" id="{00000000-0008-0000-0100-000021000000}"/>
            </a:ext>
          </a:extLst>
        </xdr:cNvPr>
        <xdr:cNvSpPr txBox="1"/>
      </xdr:nvSpPr>
      <xdr:spPr>
        <a:xfrm>
          <a:off x="7153273" y="1200150"/>
          <a:ext cx="1810852" cy="2201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0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QUANTIDADE</a:t>
          </a:r>
          <a:r>
            <a:rPr lang="pt-BR" sz="1000" b="1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POR STATUS</a:t>
          </a:r>
          <a:endParaRPr lang="pt-BR" sz="1000" b="1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16</xdr:col>
      <xdr:colOff>304800</xdr:colOff>
      <xdr:row>6</xdr:row>
      <xdr:rowOff>76200</xdr:rowOff>
    </xdr:from>
    <xdr:to>
      <xdr:col>18</xdr:col>
      <xdr:colOff>352426</xdr:colOff>
      <xdr:row>7</xdr:row>
      <xdr:rowOff>86825</xdr:rowOff>
    </xdr:to>
    <xdr:sp macro="" textlink="">
      <xdr:nvSpPr>
        <xdr:cNvPr id="34" name="CaixaDeTexto 33">
          <a:extLst>
            <a:ext uri="{FF2B5EF4-FFF2-40B4-BE49-F238E27FC236}">
              <a16:creationId xmlns:a16="http://schemas.microsoft.com/office/drawing/2014/main" id="{00000000-0008-0000-0100-000022000000}"/>
            </a:ext>
          </a:extLst>
        </xdr:cNvPr>
        <xdr:cNvSpPr txBox="1"/>
      </xdr:nvSpPr>
      <xdr:spPr>
        <a:xfrm>
          <a:off x="9448800" y="1047750"/>
          <a:ext cx="1266826" cy="172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000" b="1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TOTAL REQUISIÇÕES</a:t>
          </a:r>
          <a:endParaRPr lang="pt-BR" sz="1000" b="1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3</xdr:col>
      <xdr:colOff>361950</xdr:colOff>
      <xdr:row>29</xdr:row>
      <xdr:rowOff>33336</xdr:rowOff>
    </xdr:from>
    <xdr:to>
      <xdr:col>8</xdr:col>
      <xdr:colOff>190500</xdr:colOff>
      <xdr:row>30</xdr:row>
      <xdr:rowOff>90487</xdr:rowOff>
    </xdr:to>
    <xdr:sp macro="" textlink="">
      <xdr:nvSpPr>
        <xdr:cNvPr id="38" name="CaixaDeTexto 37">
          <a:extLst>
            <a:ext uri="{FF2B5EF4-FFF2-40B4-BE49-F238E27FC236}">
              <a16:creationId xmlns:a16="http://schemas.microsoft.com/office/drawing/2014/main" id="{00000000-0008-0000-0100-000026000000}"/>
            </a:ext>
          </a:extLst>
        </xdr:cNvPr>
        <xdr:cNvSpPr txBox="1"/>
      </xdr:nvSpPr>
      <xdr:spPr>
        <a:xfrm>
          <a:off x="1581150" y="4729161"/>
          <a:ext cx="2876550" cy="2190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0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Calibri" panose="020F0502020204030204" pitchFamily="34" charset="0"/>
              <a:cs typeface="Calibri" panose="020F0502020204030204" pitchFamily="34" charset="0"/>
            </a:rPr>
            <a:t>RC RECEBIDAS - ATENDIDAS</a:t>
          </a:r>
          <a:r>
            <a:rPr lang="pt-BR" sz="1000" b="1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Calibri" panose="020F0502020204030204" pitchFamily="34" charset="0"/>
              <a:cs typeface="Calibri" panose="020F0502020204030204" pitchFamily="34" charset="0"/>
            </a:rPr>
            <a:t> X NÃO ATENDIDAS</a:t>
          </a:r>
          <a:endParaRPr lang="pt-BR" sz="1000" b="1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209550</xdr:colOff>
      <xdr:row>14</xdr:row>
      <xdr:rowOff>33338</xdr:rowOff>
    </xdr:from>
    <xdr:to>
      <xdr:col>10</xdr:col>
      <xdr:colOff>133350</xdr:colOff>
      <xdr:row>15</xdr:row>
      <xdr:rowOff>119063</xdr:rowOff>
    </xdr:to>
    <xdr:sp macro="" textlink="">
      <xdr:nvSpPr>
        <xdr:cNvPr id="40" name="CaixaDeTexto 39">
          <a:extLst>
            <a:ext uri="{FF2B5EF4-FFF2-40B4-BE49-F238E27FC236}">
              <a16:creationId xmlns:a16="http://schemas.microsoft.com/office/drawing/2014/main" id="{00000000-0008-0000-0100-000028000000}"/>
            </a:ext>
          </a:extLst>
        </xdr:cNvPr>
        <xdr:cNvSpPr txBox="1"/>
      </xdr:nvSpPr>
      <xdr:spPr>
        <a:xfrm>
          <a:off x="4476750" y="2300288"/>
          <a:ext cx="1143000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000" b="1" cap="none" spc="0">
              <a:ln w="0"/>
              <a:solidFill>
                <a:schemeClr val="tx1">
                  <a:lumMod val="65000"/>
                  <a:lumOff val="3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OUTROS</a:t>
          </a:r>
        </a:p>
      </xdr:txBody>
    </xdr:sp>
    <xdr:clientData/>
  </xdr:twoCellAnchor>
  <xdr:twoCellAnchor editAs="oneCell">
    <xdr:from>
      <xdr:col>3</xdr:col>
      <xdr:colOff>204008</xdr:colOff>
      <xdr:row>9</xdr:row>
      <xdr:rowOff>127808</xdr:rowOff>
    </xdr:from>
    <xdr:to>
      <xdr:col>4</xdr:col>
      <xdr:colOff>15066</xdr:colOff>
      <xdr:row>12</xdr:row>
      <xdr:rowOff>62691</xdr:rowOff>
    </xdr:to>
    <xdr:pic>
      <xdr:nvPicPr>
        <xdr:cNvPr id="6" name="Gráfico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423208" y="1585133"/>
          <a:ext cx="420658" cy="420658"/>
        </a:xfrm>
        <a:prstGeom prst="rect">
          <a:avLst/>
        </a:prstGeom>
      </xdr:spPr>
    </xdr:pic>
    <xdr:clientData/>
  </xdr:twoCellAnchor>
  <xdr:twoCellAnchor editAs="oneCell">
    <xdr:from>
      <xdr:col>3</xdr:col>
      <xdr:colOff>214505</xdr:colOff>
      <xdr:row>13</xdr:row>
      <xdr:rowOff>147830</xdr:rowOff>
    </xdr:from>
    <xdr:to>
      <xdr:col>4</xdr:col>
      <xdr:colOff>14095</xdr:colOff>
      <xdr:row>16</xdr:row>
      <xdr:rowOff>71245</xdr:rowOff>
    </xdr:to>
    <xdr:pic>
      <xdr:nvPicPr>
        <xdr:cNvPr id="16" name="Gráfico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433705" y="2252855"/>
          <a:ext cx="409190" cy="409190"/>
        </a:xfrm>
        <a:prstGeom prst="rect">
          <a:avLst/>
        </a:prstGeom>
      </xdr:spPr>
    </xdr:pic>
    <xdr:clientData/>
  </xdr:twoCellAnchor>
  <xdr:twoCellAnchor editAs="oneCell">
    <xdr:from>
      <xdr:col>7</xdr:col>
      <xdr:colOff>320079</xdr:colOff>
      <xdr:row>9</xdr:row>
      <xdr:rowOff>129579</xdr:rowOff>
    </xdr:from>
    <xdr:to>
      <xdr:col>8</xdr:col>
      <xdr:colOff>118071</xdr:colOff>
      <xdr:row>12</xdr:row>
      <xdr:rowOff>51396</xdr:rowOff>
    </xdr:to>
    <xdr:pic>
      <xdr:nvPicPr>
        <xdr:cNvPr id="47" name="Gráfico 46">
          <a:extLst>
            <a:ext uri="{FF2B5EF4-FFF2-40B4-BE49-F238E27FC236}">
              <a16:creationId xmlns:a16="http://schemas.microsoft.com/office/drawing/2014/main" id="{00000000-0008-0000-01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3977679" y="1586904"/>
          <a:ext cx="407592" cy="407592"/>
        </a:xfrm>
        <a:prstGeom prst="rect">
          <a:avLst/>
        </a:prstGeom>
      </xdr:spPr>
    </xdr:pic>
    <xdr:clientData/>
  </xdr:twoCellAnchor>
  <xdr:twoCellAnchor>
    <xdr:from>
      <xdr:col>7</xdr:col>
      <xdr:colOff>309536</xdr:colOff>
      <xdr:row>14</xdr:row>
      <xdr:rowOff>23555</xdr:rowOff>
    </xdr:from>
    <xdr:to>
      <xdr:col>8</xdr:col>
      <xdr:colOff>71487</xdr:colOff>
      <xdr:row>16</xdr:row>
      <xdr:rowOff>71719</xdr:rowOff>
    </xdr:to>
    <xdr:grpSp>
      <xdr:nvGrpSpPr>
        <xdr:cNvPr id="50" name="Gráfico 48">
          <a:extLst>
            <a:ext uri="{FF2B5EF4-FFF2-40B4-BE49-F238E27FC236}">
              <a16:creationId xmlns:a16="http://schemas.microsoft.com/office/drawing/2014/main" id="{00000000-0008-0000-0100-000032000000}"/>
            </a:ext>
          </a:extLst>
        </xdr:cNvPr>
        <xdr:cNvGrpSpPr/>
      </xdr:nvGrpSpPr>
      <xdr:grpSpPr>
        <a:xfrm>
          <a:off x="3967136" y="2290505"/>
          <a:ext cx="371551" cy="372014"/>
          <a:chOff x="3967136" y="2290505"/>
          <a:chExt cx="371551" cy="372014"/>
        </a:xfrm>
      </xdr:grpSpPr>
      <xdr:sp macro="" textlink="">
        <xdr:nvSpPr>
          <xdr:cNvPr id="51" name="Forma Livre: Forma 50">
            <a:extLst>
              <a:ext uri="{FF2B5EF4-FFF2-40B4-BE49-F238E27FC236}">
                <a16:creationId xmlns:a16="http://schemas.microsoft.com/office/drawing/2014/main" id="{00000000-0008-0000-0100-000033000000}"/>
              </a:ext>
            </a:extLst>
          </xdr:cNvPr>
          <xdr:cNvSpPr/>
        </xdr:nvSpPr>
        <xdr:spPr>
          <a:xfrm>
            <a:off x="4101331" y="2290505"/>
            <a:ext cx="237357" cy="332715"/>
          </a:xfrm>
          <a:custGeom>
            <a:avLst/>
            <a:gdLst>
              <a:gd name="connsiteX0" fmla="*/ 221649 w 237357"/>
              <a:gd name="connsiteY0" fmla="*/ 0 h 332715"/>
              <a:gd name="connsiteX1" fmla="*/ 13875 w 237357"/>
              <a:gd name="connsiteY1" fmla="*/ 0 h 332715"/>
              <a:gd name="connsiteX2" fmla="*/ 13906 w 237357"/>
              <a:gd name="connsiteY2" fmla="*/ 111 h 332715"/>
              <a:gd name="connsiteX3" fmla="*/ 0 w 237357"/>
              <a:gd name="connsiteY3" fmla="*/ 15709 h 332715"/>
              <a:gd name="connsiteX4" fmla="*/ 0 w 237357"/>
              <a:gd name="connsiteY4" fmla="*/ 317007 h 332715"/>
              <a:gd name="connsiteX5" fmla="*/ 15709 w 237357"/>
              <a:gd name="connsiteY5" fmla="*/ 332715 h 332715"/>
              <a:gd name="connsiteX6" fmla="*/ 223482 w 237357"/>
              <a:gd name="connsiteY6" fmla="*/ 332715 h 332715"/>
              <a:gd name="connsiteX7" fmla="*/ 223451 w 237357"/>
              <a:gd name="connsiteY7" fmla="*/ 332604 h 332715"/>
              <a:gd name="connsiteX8" fmla="*/ 237357 w 237357"/>
              <a:gd name="connsiteY8" fmla="*/ 317007 h 332715"/>
              <a:gd name="connsiteX9" fmla="*/ 237357 w 237357"/>
              <a:gd name="connsiteY9" fmla="*/ 15709 h 332715"/>
              <a:gd name="connsiteX10" fmla="*/ 221649 w 237357"/>
              <a:gd name="connsiteY10" fmla="*/ 0 h 33271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</a:cxnLst>
            <a:rect l="l" t="t" r="r" b="b"/>
            <a:pathLst>
              <a:path w="237357" h="332715">
                <a:moveTo>
                  <a:pt x="221649" y="0"/>
                </a:moveTo>
                <a:lnTo>
                  <a:pt x="13875" y="0"/>
                </a:lnTo>
                <a:lnTo>
                  <a:pt x="13906" y="111"/>
                </a:lnTo>
                <a:cubicBezTo>
                  <a:pt x="6080" y="1006"/>
                  <a:pt x="0" y="7644"/>
                  <a:pt x="0" y="15709"/>
                </a:cubicBezTo>
                <a:lnTo>
                  <a:pt x="0" y="317007"/>
                </a:lnTo>
                <a:cubicBezTo>
                  <a:pt x="0" y="325682"/>
                  <a:pt x="7033" y="332715"/>
                  <a:pt x="15709" y="332715"/>
                </a:cubicBezTo>
                <a:lnTo>
                  <a:pt x="223482" y="332715"/>
                </a:lnTo>
                <a:lnTo>
                  <a:pt x="223451" y="332604"/>
                </a:lnTo>
                <a:cubicBezTo>
                  <a:pt x="231277" y="331709"/>
                  <a:pt x="237357" y="325072"/>
                  <a:pt x="237357" y="317007"/>
                </a:cubicBezTo>
                <a:lnTo>
                  <a:pt x="237357" y="15709"/>
                </a:lnTo>
                <a:cubicBezTo>
                  <a:pt x="237357" y="7033"/>
                  <a:pt x="230324" y="0"/>
                  <a:pt x="221649" y="0"/>
                </a:cubicBezTo>
                <a:close/>
              </a:path>
            </a:pathLst>
          </a:custGeom>
          <a:solidFill>
            <a:srgbClr val="9A0000"/>
          </a:solidFill>
          <a:ln w="726" cap="flat">
            <a:noFill/>
            <a:prstDash val="solid"/>
            <a:miter/>
          </a:ln>
        </xdr:spPr>
        <xdr:txBody>
          <a:bodyPr rtlCol="0" anchor="ctr"/>
          <a:lstStyle/>
          <a:p>
            <a:endParaRPr lang="pt-BR"/>
          </a:p>
        </xdr:txBody>
      </xdr:sp>
      <xdr:sp macro="" textlink="">
        <xdr:nvSpPr>
          <xdr:cNvPr id="52" name="Forma Livre: Forma 51">
            <a:extLst>
              <a:ext uri="{FF2B5EF4-FFF2-40B4-BE49-F238E27FC236}">
                <a16:creationId xmlns:a16="http://schemas.microsoft.com/office/drawing/2014/main" id="{00000000-0008-0000-0100-000034000000}"/>
              </a:ext>
            </a:extLst>
          </xdr:cNvPr>
          <xdr:cNvSpPr/>
        </xdr:nvSpPr>
        <xdr:spPr>
          <a:xfrm>
            <a:off x="3967136" y="2331931"/>
            <a:ext cx="240783" cy="330588"/>
          </a:xfrm>
          <a:custGeom>
            <a:avLst/>
            <a:gdLst>
              <a:gd name="connsiteX0" fmla="*/ 67458 w 240783"/>
              <a:gd name="connsiteY0" fmla="*/ 0 h 330588"/>
              <a:gd name="connsiteX1" fmla="*/ 15162 w 240783"/>
              <a:gd name="connsiteY1" fmla="*/ 0 h 330588"/>
              <a:gd name="connsiteX2" fmla="*/ 0 w 240783"/>
              <a:gd name="connsiteY2" fmla="*/ 15162 h 330588"/>
              <a:gd name="connsiteX3" fmla="*/ 0 w 240783"/>
              <a:gd name="connsiteY3" fmla="*/ 315427 h 330588"/>
              <a:gd name="connsiteX4" fmla="*/ 15162 w 240783"/>
              <a:gd name="connsiteY4" fmla="*/ 330589 h 330588"/>
              <a:gd name="connsiteX5" fmla="*/ 225622 w 240783"/>
              <a:gd name="connsiteY5" fmla="*/ 330589 h 330588"/>
              <a:gd name="connsiteX6" fmla="*/ 240784 w 240783"/>
              <a:gd name="connsiteY6" fmla="*/ 315427 h 330588"/>
              <a:gd name="connsiteX7" fmla="*/ 240784 w 240783"/>
              <a:gd name="connsiteY7" fmla="*/ 15162 h 330588"/>
              <a:gd name="connsiteX8" fmla="*/ 225622 w 240783"/>
              <a:gd name="connsiteY8" fmla="*/ 0 h 330588"/>
              <a:gd name="connsiteX9" fmla="*/ 173303 w 240783"/>
              <a:gd name="connsiteY9" fmla="*/ 0 h 330588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</a:cxnLst>
            <a:rect l="l" t="t" r="r" b="b"/>
            <a:pathLst>
              <a:path w="240783" h="330588">
                <a:moveTo>
                  <a:pt x="67458" y="0"/>
                </a:moveTo>
                <a:lnTo>
                  <a:pt x="15162" y="0"/>
                </a:lnTo>
                <a:cubicBezTo>
                  <a:pt x="6788" y="0"/>
                  <a:pt x="0" y="6788"/>
                  <a:pt x="0" y="15162"/>
                </a:cubicBezTo>
                <a:lnTo>
                  <a:pt x="0" y="315427"/>
                </a:lnTo>
                <a:cubicBezTo>
                  <a:pt x="0" y="323801"/>
                  <a:pt x="6788" y="330589"/>
                  <a:pt x="15162" y="330589"/>
                </a:cubicBezTo>
                <a:lnTo>
                  <a:pt x="225622" y="330589"/>
                </a:lnTo>
                <a:cubicBezTo>
                  <a:pt x="233995" y="330589"/>
                  <a:pt x="240784" y="323801"/>
                  <a:pt x="240784" y="315427"/>
                </a:cubicBezTo>
                <a:lnTo>
                  <a:pt x="240784" y="15162"/>
                </a:lnTo>
                <a:cubicBezTo>
                  <a:pt x="240784" y="6788"/>
                  <a:pt x="233995" y="0"/>
                  <a:pt x="225622" y="0"/>
                </a:cubicBezTo>
                <a:lnTo>
                  <a:pt x="173303" y="0"/>
                </a:lnTo>
              </a:path>
            </a:pathLst>
          </a:custGeom>
          <a:solidFill>
            <a:srgbClr val="F4F1F1"/>
          </a:solidFill>
          <a:ln w="726" cap="flat">
            <a:noFill/>
            <a:prstDash val="solid"/>
            <a:miter/>
          </a:ln>
        </xdr:spPr>
        <xdr:txBody>
          <a:bodyPr rtlCol="0" anchor="ctr"/>
          <a:lstStyle/>
          <a:p>
            <a:endParaRPr lang="pt-BR"/>
          </a:p>
        </xdr:txBody>
      </xdr:sp>
      <xdr:sp macro="" textlink="">
        <xdr:nvSpPr>
          <xdr:cNvPr id="53" name="Forma Livre: Forma 52">
            <a:extLst>
              <a:ext uri="{FF2B5EF4-FFF2-40B4-BE49-F238E27FC236}">
                <a16:creationId xmlns:a16="http://schemas.microsoft.com/office/drawing/2014/main" id="{00000000-0008-0000-0100-000035000000}"/>
              </a:ext>
            </a:extLst>
          </xdr:cNvPr>
          <xdr:cNvSpPr/>
        </xdr:nvSpPr>
        <xdr:spPr>
          <a:xfrm>
            <a:off x="4001744" y="2379076"/>
            <a:ext cx="66492" cy="56203"/>
          </a:xfrm>
          <a:custGeom>
            <a:avLst/>
            <a:gdLst>
              <a:gd name="connsiteX0" fmla="*/ 25966 w 66492"/>
              <a:gd name="connsiteY0" fmla="*/ 56204 h 56203"/>
              <a:gd name="connsiteX1" fmla="*/ 18208 w 66492"/>
              <a:gd name="connsiteY1" fmla="*/ 53216 h 56203"/>
              <a:gd name="connsiteX2" fmla="*/ 3805 w 66492"/>
              <a:gd name="connsiteY2" fmla="*/ 40184 h 56203"/>
              <a:gd name="connsiteX3" fmla="*/ 2989 w 66492"/>
              <a:gd name="connsiteY3" fmla="*/ 23852 h 56203"/>
              <a:gd name="connsiteX4" fmla="*/ 19321 w 66492"/>
              <a:gd name="connsiteY4" fmla="*/ 23036 h 56203"/>
              <a:gd name="connsiteX5" fmla="*/ 25009 w 66492"/>
              <a:gd name="connsiteY5" fmla="*/ 28182 h 56203"/>
              <a:gd name="connsiteX6" fmla="*/ 46230 w 66492"/>
              <a:gd name="connsiteY6" fmla="*/ 3946 h 56203"/>
              <a:gd name="connsiteX7" fmla="*/ 62547 w 66492"/>
              <a:gd name="connsiteY7" fmla="*/ 2864 h 56203"/>
              <a:gd name="connsiteX8" fmla="*/ 63628 w 66492"/>
              <a:gd name="connsiteY8" fmla="*/ 19180 h 56203"/>
              <a:gd name="connsiteX9" fmla="*/ 34665 w 66492"/>
              <a:gd name="connsiteY9" fmla="*/ 52258 h 56203"/>
              <a:gd name="connsiteX10" fmla="*/ 25966 w 66492"/>
              <a:gd name="connsiteY10" fmla="*/ 56204 h 56203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</a:cxnLst>
            <a:rect l="l" t="t" r="r" b="b"/>
            <a:pathLst>
              <a:path w="66492" h="56203">
                <a:moveTo>
                  <a:pt x="25966" y="56204"/>
                </a:moveTo>
                <a:cubicBezTo>
                  <a:pt x="23107" y="56204"/>
                  <a:pt x="20340" y="55144"/>
                  <a:pt x="18208" y="53216"/>
                </a:cubicBezTo>
                <a:lnTo>
                  <a:pt x="3805" y="40184"/>
                </a:lnTo>
                <a:cubicBezTo>
                  <a:pt x="-930" y="35900"/>
                  <a:pt x="-1296" y="28588"/>
                  <a:pt x="2989" y="23852"/>
                </a:cubicBezTo>
                <a:cubicBezTo>
                  <a:pt x="7274" y="19116"/>
                  <a:pt x="14585" y="18752"/>
                  <a:pt x="19321" y="23036"/>
                </a:cubicBezTo>
                <a:lnTo>
                  <a:pt x="25009" y="28182"/>
                </a:lnTo>
                <a:lnTo>
                  <a:pt x="46230" y="3946"/>
                </a:lnTo>
                <a:cubicBezTo>
                  <a:pt x="50437" y="-859"/>
                  <a:pt x="57743" y="-1343"/>
                  <a:pt x="62547" y="2864"/>
                </a:cubicBezTo>
                <a:cubicBezTo>
                  <a:pt x="67351" y="7071"/>
                  <a:pt x="67836" y="14375"/>
                  <a:pt x="63628" y="19180"/>
                </a:cubicBezTo>
                <a:lnTo>
                  <a:pt x="34665" y="52258"/>
                </a:lnTo>
                <a:cubicBezTo>
                  <a:pt x="33145" y="54005"/>
                  <a:pt x="29648" y="56194"/>
                  <a:pt x="25966" y="56204"/>
                </a:cubicBezTo>
                <a:close/>
              </a:path>
            </a:pathLst>
          </a:custGeom>
          <a:solidFill>
            <a:srgbClr val="BEE75E"/>
          </a:solidFill>
          <a:ln w="726" cap="flat">
            <a:noFill/>
            <a:prstDash val="solid"/>
            <a:miter/>
          </a:ln>
        </xdr:spPr>
        <xdr:txBody>
          <a:bodyPr rtlCol="0" anchor="ctr"/>
          <a:lstStyle/>
          <a:p>
            <a:endParaRPr lang="pt-BR"/>
          </a:p>
        </xdr:txBody>
      </xdr:sp>
      <xdr:sp macro="" textlink="">
        <xdr:nvSpPr>
          <xdr:cNvPr id="54" name="Forma Livre: Forma 53">
            <a:extLst>
              <a:ext uri="{FF2B5EF4-FFF2-40B4-BE49-F238E27FC236}">
                <a16:creationId xmlns:a16="http://schemas.microsoft.com/office/drawing/2014/main" id="{00000000-0008-0000-0100-000036000000}"/>
              </a:ext>
            </a:extLst>
          </xdr:cNvPr>
          <xdr:cNvSpPr/>
        </xdr:nvSpPr>
        <xdr:spPr>
          <a:xfrm>
            <a:off x="4001744" y="2521680"/>
            <a:ext cx="66492" cy="56204"/>
          </a:xfrm>
          <a:custGeom>
            <a:avLst/>
            <a:gdLst>
              <a:gd name="connsiteX0" fmla="*/ 25966 w 66492"/>
              <a:gd name="connsiteY0" fmla="*/ 56204 h 56204"/>
              <a:gd name="connsiteX1" fmla="*/ 18208 w 66492"/>
              <a:gd name="connsiteY1" fmla="*/ 53216 h 56204"/>
              <a:gd name="connsiteX2" fmla="*/ 3805 w 66492"/>
              <a:gd name="connsiteY2" fmla="*/ 40184 h 56204"/>
              <a:gd name="connsiteX3" fmla="*/ 2989 w 66492"/>
              <a:gd name="connsiteY3" fmla="*/ 23852 h 56204"/>
              <a:gd name="connsiteX4" fmla="*/ 19321 w 66492"/>
              <a:gd name="connsiteY4" fmla="*/ 23036 h 56204"/>
              <a:gd name="connsiteX5" fmla="*/ 25009 w 66492"/>
              <a:gd name="connsiteY5" fmla="*/ 28182 h 56204"/>
              <a:gd name="connsiteX6" fmla="*/ 46230 w 66492"/>
              <a:gd name="connsiteY6" fmla="*/ 3946 h 56204"/>
              <a:gd name="connsiteX7" fmla="*/ 62547 w 66492"/>
              <a:gd name="connsiteY7" fmla="*/ 2864 h 56204"/>
              <a:gd name="connsiteX8" fmla="*/ 63628 w 66492"/>
              <a:gd name="connsiteY8" fmla="*/ 19180 h 56204"/>
              <a:gd name="connsiteX9" fmla="*/ 34665 w 66492"/>
              <a:gd name="connsiteY9" fmla="*/ 52258 h 56204"/>
              <a:gd name="connsiteX10" fmla="*/ 25966 w 66492"/>
              <a:gd name="connsiteY10" fmla="*/ 56204 h 56204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</a:cxnLst>
            <a:rect l="l" t="t" r="r" b="b"/>
            <a:pathLst>
              <a:path w="66492" h="56204">
                <a:moveTo>
                  <a:pt x="25966" y="56204"/>
                </a:moveTo>
                <a:cubicBezTo>
                  <a:pt x="23107" y="56204"/>
                  <a:pt x="20340" y="55144"/>
                  <a:pt x="18208" y="53216"/>
                </a:cubicBezTo>
                <a:lnTo>
                  <a:pt x="3805" y="40184"/>
                </a:lnTo>
                <a:cubicBezTo>
                  <a:pt x="-930" y="35900"/>
                  <a:pt x="-1296" y="28588"/>
                  <a:pt x="2989" y="23852"/>
                </a:cubicBezTo>
                <a:cubicBezTo>
                  <a:pt x="7273" y="19117"/>
                  <a:pt x="14585" y="18751"/>
                  <a:pt x="19321" y="23036"/>
                </a:cubicBezTo>
                <a:lnTo>
                  <a:pt x="25009" y="28182"/>
                </a:lnTo>
                <a:lnTo>
                  <a:pt x="46230" y="3946"/>
                </a:lnTo>
                <a:cubicBezTo>
                  <a:pt x="50437" y="-859"/>
                  <a:pt x="57743" y="-1343"/>
                  <a:pt x="62547" y="2864"/>
                </a:cubicBezTo>
                <a:cubicBezTo>
                  <a:pt x="67351" y="7071"/>
                  <a:pt x="67836" y="14376"/>
                  <a:pt x="63628" y="19180"/>
                </a:cubicBezTo>
                <a:lnTo>
                  <a:pt x="34665" y="52258"/>
                </a:lnTo>
                <a:cubicBezTo>
                  <a:pt x="33145" y="54005"/>
                  <a:pt x="29648" y="56194"/>
                  <a:pt x="25966" y="56204"/>
                </a:cubicBezTo>
                <a:close/>
              </a:path>
            </a:pathLst>
          </a:custGeom>
          <a:solidFill>
            <a:srgbClr val="BEE75E"/>
          </a:solidFill>
          <a:ln w="726" cap="flat">
            <a:noFill/>
            <a:prstDash val="solid"/>
            <a:miter/>
          </a:ln>
        </xdr:spPr>
        <xdr:txBody>
          <a:bodyPr rtlCol="0" anchor="ctr"/>
          <a:lstStyle/>
          <a:p>
            <a:endParaRPr lang="pt-BR"/>
          </a:p>
        </xdr:txBody>
      </xdr:sp>
      <xdr:sp macro="" textlink="">
        <xdr:nvSpPr>
          <xdr:cNvPr id="55" name="Forma Livre: Forma 54">
            <a:extLst>
              <a:ext uri="{FF2B5EF4-FFF2-40B4-BE49-F238E27FC236}">
                <a16:creationId xmlns:a16="http://schemas.microsoft.com/office/drawing/2014/main" id="{00000000-0008-0000-0100-000037000000}"/>
              </a:ext>
            </a:extLst>
          </xdr:cNvPr>
          <xdr:cNvSpPr/>
        </xdr:nvSpPr>
        <xdr:spPr>
          <a:xfrm>
            <a:off x="4220009" y="2290505"/>
            <a:ext cx="118678" cy="332715"/>
          </a:xfrm>
          <a:custGeom>
            <a:avLst/>
            <a:gdLst>
              <a:gd name="connsiteX0" fmla="*/ 102784 w 118678"/>
              <a:gd name="connsiteY0" fmla="*/ 0 h 332715"/>
              <a:gd name="connsiteX1" fmla="*/ 0 w 118678"/>
              <a:gd name="connsiteY1" fmla="*/ 0 h 332715"/>
              <a:gd name="connsiteX2" fmla="*/ 0 w 118678"/>
              <a:gd name="connsiteY2" fmla="*/ 332715 h 332715"/>
              <a:gd name="connsiteX3" fmla="*/ 104639 w 118678"/>
              <a:gd name="connsiteY3" fmla="*/ 332715 h 332715"/>
              <a:gd name="connsiteX4" fmla="*/ 104608 w 118678"/>
              <a:gd name="connsiteY4" fmla="*/ 332604 h 332715"/>
              <a:gd name="connsiteX5" fmla="*/ 118679 w 118678"/>
              <a:gd name="connsiteY5" fmla="*/ 317007 h 332715"/>
              <a:gd name="connsiteX6" fmla="*/ 118679 w 118678"/>
              <a:gd name="connsiteY6" fmla="*/ 15709 h 332715"/>
              <a:gd name="connsiteX7" fmla="*/ 102784 w 118678"/>
              <a:gd name="connsiteY7" fmla="*/ 0 h 33271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</a:cxnLst>
            <a:rect l="l" t="t" r="r" b="b"/>
            <a:pathLst>
              <a:path w="118678" h="332715">
                <a:moveTo>
                  <a:pt x="102784" y="0"/>
                </a:moveTo>
                <a:lnTo>
                  <a:pt x="0" y="0"/>
                </a:lnTo>
                <a:lnTo>
                  <a:pt x="0" y="332715"/>
                </a:lnTo>
                <a:lnTo>
                  <a:pt x="104639" y="332715"/>
                </a:lnTo>
                <a:lnTo>
                  <a:pt x="104608" y="332604"/>
                </a:lnTo>
                <a:cubicBezTo>
                  <a:pt x="112527" y="331709"/>
                  <a:pt x="118679" y="325071"/>
                  <a:pt x="118679" y="317007"/>
                </a:cubicBezTo>
                <a:lnTo>
                  <a:pt x="118679" y="15709"/>
                </a:lnTo>
                <a:cubicBezTo>
                  <a:pt x="118679" y="7033"/>
                  <a:pt x="111562" y="0"/>
                  <a:pt x="102784" y="0"/>
                </a:cubicBezTo>
                <a:close/>
              </a:path>
            </a:pathLst>
          </a:custGeom>
          <a:solidFill>
            <a:srgbClr val="9A0000"/>
          </a:solidFill>
          <a:ln w="726" cap="flat">
            <a:noFill/>
            <a:prstDash val="solid"/>
            <a:miter/>
          </a:ln>
        </xdr:spPr>
        <xdr:txBody>
          <a:bodyPr rtlCol="0" anchor="ctr"/>
          <a:lstStyle/>
          <a:p>
            <a:endParaRPr lang="pt-BR"/>
          </a:p>
        </xdr:txBody>
      </xdr:sp>
      <xdr:sp macro="" textlink="">
        <xdr:nvSpPr>
          <xdr:cNvPr id="56" name="Forma Livre: Forma 55">
            <a:extLst>
              <a:ext uri="{FF2B5EF4-FFF2-40B4-BE49-F238E27FC236}">
                <a16:creationId xmlns:a16="http://schemas.microsoft.com/office/drawing/2014/main" id="{00000000-0008-0000-0100-000038000000}"/>
              </a:ext>
            </a:extLst>
          </xdr:cNvPr>
          <xdr:cNvSpPr/>
        </xdr:nvSpPr>
        <xdr:spPr>
          <a:xfrm>
            <a:off x="4087528" y="2331931"/>
            <a:ext cx="120391" cy="330588"/>
          </a:xfrm>
          <a:custGeom>
            <a:avLst/>
            <a:gdLst>
              <a:gd name="connsiteX0" fmla="*/ 105230 w 120391"/>
              <a:gd name="connsiteY0" fmla="*/ 0 h 330588"/>
              <a:gd name="connsiteX1" fmla="*/ 0 w 120391"/>
              <a:gd name="connsiteY1" fmla="*/ 0 h 330588"/>
              <a:gd name="connsiteX2" fmla="*/ 0 w 120391"/>
              <a:gd name="connsiteY2" fmla="*/ 330589 h 330588"/>
              <a:gd name="connsiteX3" fmla="*/ 105230 w 120391"/>
              <a:gd name="connsiteY3" fmla="*/ 330589 h 330588"/>
              <a:gd name="connsiteX4" fmla="*/ 120391 w 120391"/>
              <a:gd name="connsiteY4" fmla="*/ 315427 h 330588"/>
              <a:gd name="connsiteX5" fmla="*/ 120391 w 120391"/>
              <a:gd name="connsiteY5" fmla="*/ 15162 h 330588"/>
              <a:gd name="connsiteX6" fmla="*/ 105230 w 120391"/>
              <a:gd name="connsiteY6" fmla="*/ 0 h 330588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</a:cxnLst>
            <a:rect l="l" t="t" r="r" b="b"/>
            <a:pathLst>
              <a:path w="120391" h="330588">
                <a:moveTo>
                  <a:pt x="105230" y="0"/>
                </a:moveTo>
                <a:lnTo>
                  <a:pt x="0" y="0"/>
                </a:lnTo>
                <a:lnTo>
                  <a:pt x="0" y="330589"/>
                </a:lnTo>
                <a:lnTo>
                  <a:pt x="105230" y="330589"/>
                </a:lnTo>
                <a:cubicBezTo>
                  <a:pt x="113603" y="330589"/>
                  <a:pt x="120391" y="323801"/>
                  <a:pt x="120391" y="315427"/>
                </a:cubicBezTo>
                <a:lnTo>
                  <a:pt x="120391" y="15162"/>
                </a:lnTo>
                <a:cubicBezTo>
                  <a:pt x="120391" y="6788"/>
                  <a:pt x="113603" y="0"/>
                  <a:pt x="105230" y="0"/>
                </a:cubicBezTo>
                <a:close/>
              </a:path>
            </a:pathLst>
          </a:custGeom>
          <a:solidFill>
            <a:srgbClr val="DAEAEC"/>
          </a:solidFill>
          <a:ln w="726" cap="flat">
            <a:noFill/>
            <a:prstDash val="solid"/>
            <a:miter/>
          </a:ln>
        </xdr:spPr>
        <xdr:txBody>
          <a:bodyPr rtlCol="0" anchor="ctr"/>
          <a:lstStyle/>
          <a:p>
            <a:endParaRPr lang="pt-BR"/>
          </a:p>
        </xdr:txBody>
      </xdr:sp>
      <xdr:sp macro="" textlink="">
        <xdr:nvSpPr>
          <xdr:cNvPr id="57" name="Forma Livre: Forma 56">
            <a:extLst>
              <a:ext uri="{FF2B5EF4-FFF2-40B4-BE49-F238E27FC236}">
                <a16:creationId xmlns:a16="http://schemas.microsoft.com/office/drawing/2014/main" id="{00000000-0008-0000-0100-000039000000}"/>
              </a:ext>
            </a:extLst>
          </xdr:cNvPr>
          <xdr:cNvSpPr/>
        </xdr:nvSpPr>
        <xdr:spPr>
          <a:xfrm>
            <a:off x="4034581" y="2290988"/>
            <a:ext cx="105894" cy="61403"/>
          </a:xfrm>
          <a:custGeom>
            <a:avLst/>
            <a:gdLst>
              <a:gd name="connsiteX0" fmla="*/ 79008 w 105894"/>
              <a:gd name="connsiteY0" fmla="*/ 25542 h 61403"/>
              <a:gd name="connsiteX1" fmla="*/ 52947 w 105894"/>
              <a:gd name="connsiteY1" fmla="*/ 0 h 61403"/>
              <a:gd name="connsiteX2" fmla="*/ 26886 w 105894"/>
              <a:gd name="connsiteY2" fmla="*/ 25542 h 61403"/>
              <a:gd name="connsiteX3" fmla="*/ 4938 w 105894"/>
              <a:gd name="connsiteY3" fmla="*/ 25542 h 61403"/>
              <a:gd name="connsiteX4" fmla="*/ 0 w 105894"/>
              <a:gd name="connsiteY4" fmla="*/ 30480 h 61403"/>
              <a:gd name="connsiteX5" fmla="*/ 0 w 105894"/>
              <a:gd name="connsiteY5" fmla="*/ 54962 h 61403"/>
              <a:gd name="connsiteX6" fmla="*/ 6441 w 105894"/>
              <a:gd name="connsiteY6" fmla="*/ 61403 h 61403"/>
              <a:gd name="connsiteX7" fmla="*/ 99454 w 105894"/>
              <a:gd name="connsiteY7" fmla="*/ 61403 h 61403"/>
              <a:gd name="connsiteX8" fmla="*/ 105895 w 105894"/>
              <a:gd name="connsiteY8" fmla="*/ 54962 h 61403"/>
              <a:gd name="connsiteX9" fmla="*/ 105895 w 105894"/>
              <a:gd name="connsiteY9" fmla="*/ 30625 h 61403"/>
              <a:gd name="connsiteX10" fmla="*/ 100812 w 105894"/>
              <a:gd name="connsiteY10" fmla="*/ 25542 h 61403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</a:cxnLst>
            <a:rect l="l" t="t" r="r" b="b"/>
            <a:pathLst>
              <a:path w="105894" h="61403">
                <a:moveTo>
                  <a:pt x="79008" y="25542"/>
                </a:moveTo>
                <a:cubicBezTo>
                  <a:pt x="78723" y="11389"/>
                  <a:pt x="67169" y="0"/>
                  <a:pt x="52947" y="0"/>
                </a:cubicBezTo>
                <a:cubicBezTo>
                  <a:pt x="38725" y="0"/>
                  <a:pt x="27171" y="11389"/>
                  <a:pt x="26886" y="25542"/>
                </a:cubicBezTo>
                <a:lnTo>
                  <a:pt x="4938" y="25542"/>
                </a:lnTo>
                <a:cubicBezTo>
                  <a:pt x="2210" y="25542"/>
                  <a:pt x="0" y="27753"/>
                  <a:pt x="0" y="30480"/>
                </a:cubicBezTo>
                <a:lnTo>
                  <a:pt x="0" y="54962"/>
                </a:lnTo>
                <a:cubicBezTo>
                  <a:pt x="0" y="58520"/>
                  <a:pt x="2884" y="61403"/>
                  <a:pt x="6441" y="61403"/>
                </a:cubicBezTo>
                <a:lnTo>
                  <a:pt x="99454" y="61403"/>
                </a:lnTo>
                <a:cubicBezTo>
                  <a:pt x="103011" y="61403"/>
                  <a:pt x="105895" y="58520"/>
                  <a:pt x="105895" y="54962"/>
                </a:cubicBezTo>
                <a:lnTo>
                  <a:pt x="105895" y="30625"/>
                </a:lnTo>
                <a:cubicBezTo>
                  <a:pt x="105895" y="27818"/>
                  <a:pt x="103619" y="25542"/>
                  <a:pt x="100812" y="25542"/>
                </a:cubicBezTo>
                <a:close/>
              </a:path>
            </a:pathLst>
          </a:custGeom>
          <a:solidFill>
            <a:srgbClr val="FDBF00"/>
          </a:solidFill>
          <a:ln w="726" cap="flat">
            <a:noFill/>
            <a:prstDash val="solid"/>
            <a:miter/>
          </a:ln>
        </xdr:spPr>
        <xdr:txBody>
          <a:bodyPr rtlCol="0" anchor="ctr"/>
          <a:lstStyle/>
          <a:p>
            <a:endParaRPr lang="pt-BR"/>
          </a:p>
        </xdr:txBody>
      </xdr:sp>
      <xdr:sp macro="" textlink="">
        <xdr:nvSpPr>
          <xdr:cNvPr id="58" name="Forma Livre: Forma 57">
            <a:extLst>
              <a:ext uri="{FF2B5EF4-FFF2-40B4-BE49-F238E27FC236}">
                <a16:creationId xmlns:a16="http://schemas.microsoft.com/office/drawing/2014/main" id="{00000000-0008-0000-0100-00003A000000}"/>
              </a:ext>
            </a:extLst>
          </xdr:cNvPr>
          <xdr:cNvSpPr/>
        </xdr:nvSpPr>
        <xdr:spPr>
          <a:xfrm>
            <a:off x="4087528" y="2290988"/>
            <a:ext cx="52946" cy="61403"/>
          </a:xfrm>
          <a:custGeom>
            <a:avLst/>
            <a:gdLst>
              <a:gd name="connsiteX0" fmla="*/ 47864 w 52946"/>
              <a:gd name="connsiteY0" fmla="*/ 25542 h 61403"/>
              <a:gd name="connsiteX1" fmla="*/ 26061 w 52946"/>
              <a:gd name="connsiteY1" fmla="*/ 25542 h 61403"/>
              <a:gd name="connsiteX2" fmla="*/ 0 w 52946"/>
              <a:gd name="connsiteY2" fmla="*/ 0 h 61403"/>
              <a:gd name="connsiteX3" fmla="*/ 0 w 52946"/>
              <a:gd name="connsiteY3" fmla="*/ 61403 h 61403"/>
              <a:gd name="connsiteX4" fmla="*/ 46506 w 52946"/>
              <a:gd name="connsiteY4" fmla="*/ 61403 h 61403"/>
              <a:gd name="connsiteX5" fmla="*/ 52947 w 52946"/>
              <a:gd name="connsiteY5" fmla="*/ 54962 h 61403"/>
              <a:gd name="connsiteX6" fmla="*/ 52947 w 52946"/>
              <a:gd name="connsiteY6" fmla="*/ 30625 h 61403"/>
              <a:gd name="connsiteX7" fmla="*/ 47864 w 52946"/>
              <a:gd name="connsiteY7" fmla="*/ 25542 h 61403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</a:cxnLst>
            <a:rect l="l" t="t" r="r" b="b"/>
            <a:pathLst>
              <a:path w="52946" h="61403">
                <a:moveTo>
                  <a:pt x="47864" y="25542"/>
                </a:moveTo>
                <a:lnTo>
                  <a:pt x="26061" y="25542"/>
                </a:lnTo>
                <a:cubicBezTo>
                  <a:pt x="25776" y="11389"/>
                  <a:pt x="14222" y="0"/>
                  <a:pt x="0" y="0"/>
                </a:cubicBezTo>
                <a:lnTo>
                  <a:pt x="0" y="61403"/>
                </a:lnTo>
                <a:lnTo>
                  <a:pt x="46506" y="61403"/>
                </a:lnTo>
                <a:cubicBezTo>
                  <a:pt x="50063" y="61403"/>
                  <a:pt x="52947" y="58520"/>
                  <a:pt x="52947" y="54962"/>
                </a:cubicBezTo>
                <a:lnTo>
                  <a:pt x="52947" y="30625"/>
                </a:lnTo>
                <a:cubicBezTo>
                  <a:pt x="52947" y="27818"/>
                  <a:pt x="50671" y="25542"/>
                  <a:pt x="47864" y="25542"/>
                </a:cubicBezTo>
                <a:close/>
              </a:path>
            </a:pathLst>
          </a:custGeom>
          <a:solidFill>
            <a:srgbClr val="FF9100"/>
          </a:solidFill>
          <a:ln w="726" cap="flat">
            <a:noFill/>
            <a:prstDash val="solid"/>
            <a:miter/>
          </a:ln>
        </xdr:spPr>
        <xdr:txBody>
          <a:bodyPr rtlCol="0" anchor="ctr"/>
          <a:lstStyle/>
          <a:p>
            <a:endParaRPr lang="pt-BR"/>
          </a:p>
        </xdr:txBody>
      </xdr:sp>
      <xdr:sp macro="" textlink="">
        <xdr:nvSpPr>
          <xdr:cNvPr id="59" name="Forma Livre: Forma 58">
            <a:extLst>
              <a:ext uri="{FF2B5EF4-FFF2-40B4-BE49-F238E27FC236}">
                <a16:creationId xmlns:a16="http://schemas.microsoft.com/office/drawing/2014/main" id="{00000000-0008-0000-0100-00003B000000}"/>
              </a:ext>
            </a:extLst>
          </xdr:cNvPr>
          <xdr:cNvSpPr/>
        </xdr:nvSpPr>
        <xdr:spPr>
          <a:xfrm>
            <a:off x="4090039" y="2411997"/>
            <a:ext cx="83753" cy="23125"/>
          </a:xfrm>
          <a:custGeom>
            <a:avLst/>
            <a:gdLst>
              <a:gd name="connsiteX0" fmla="*/ 72190 w 83753"/>
              <a:gd name="connsiteY0" fmla="*/ 23126 h 23125"/>
              <a:gd name="connsiteX1" fmla="*/ 11563 w 83753"/>
              <a:gd name="connsiteY1" fmla="*/ 23126 h 23125"/>
              <a:gd name="connsiteX2" fmla="*/ 0 w 83753"/>
              <a:gd name="connsiteY2" fmla="*/ 11563 h 23125"/>
              <a:gd name="connsiteX3" fmla="*/ 11563 w 83753"/>
              <a:gd name="connsiteY3" fmla="*/ 0 h 23125"/>
              <a:gd name="connsiteX4" fmla="*/ 72190 w 83753"/>
              <a:gd name="connsiteY4" fmla="*/ 0 h 23125"/>
              <a:gd name="connsiteX5" fmla="*/ 83753 w 83753"/>
              <a:gd name="connsiteY5" fmla="*/ 11563 h 23125"/>
              <a:gd name="connsiteX6" fmla="*/ 72190 w 83753"/>
              <a:gd name="connsiteY6" fmla="*/ 23126 h 2312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</a:cxnLst>
            <a:rect l="l" t="t" r="r" b="b"/>
            <a:pathLst>
              <a:path w="83753" h="23125">
                <a:moveTo>
                  <a:pt x="72190" y="23126"/>
                </a:moveTo>
                <a:lnTo>
                  <a:pt x="11563" y="23126"/>
                </a:lnTo>
                <a:cubicBezTo>
                  <a:pt x="5177" y="23126"/>
                  <a:pt x="0" y="17949"/>
                  <a:pt x="0" y="11563"/>
                </a:cubicBezTo>
                <a:cubicBezTo>
                  <a:pt x="0" y="5177"/>
                  <a:pt x="5177" y="0"/>
                  <a:pt x="11563" y="0"/>
                </a:cubicBezTo>
                <a:lnTo>
                  <a:pt x="72190" y="0"/>
                </a:lnTo>
                <a:cubicBezTo>
                  <a:pt x="78576" y="0"/>
                  <a:pt x="83753" y="5177"/>
                  <a:pt x="83753" y="11563"/>
                </a:cubicBezTo>
                <a:cubicBezTo>
                  <a:pt x="83753" y="17949"/>
                  <a:pt x="78576" y="23126"/>
                  <a:pt x="72190" y="23126"/>
                </a:cubicBezTo>
                <a:close/>
              </a:path>
            </a:pathLst>
          </a:custGeom>
          <a:solidFill>
            <a:srgbClr val="292929"/>
          </a:solidFill>
          <a:ln w="726" cap="flat">
            <a:noFill/>
            <a:prstDash val="solid"/>
            <a:miter/>
          </a:ln>
        </xdr:spPr>
        <xdr:txBody>
          <a:bodyPr rtlCol="0" anchor="ctr"/>
          <a:lstStyle/>
          <a:p>
            <a:endParaRPr lang="pt-BR"/>
          </a:p>
        </xdr:txBody>
      </xdr:sp>
      <xdr:sp macro="" textlink="">
        <xdr:nvSpPr>
          <xdr:cNvPr id="60" name="Forma Livre: Forma 59">
            <a:extLst>
              <a:ext uri="{FF2B5EF4-FFF2-40B4-BE49-F238E27FC236}">
                <a16:creationId xmlns:a16="http://schemas.microsoft.com/office/drawing/2014/main" id="{00000000-0008-0000-0100-00003C000000}"/>
              </a:ext>
            </a:extLst>
          </xdr:cNvPr>
          <xdr:cNvSpPr/>
        </xdr:nvSpPr>
        <xdr:spPr>
          <a:xfrm>
            <a:off x="4000794" y="2461221"/>
            <a:ext cx="172998" cy="23125"/>
          </a:xfrm>
          <a:custGeom>
            <a:avLst/>
            <a:gdLst>
              <a:gd name="connsiteX0" fmla="*/ 161435 w 172998"/>
              <a:gd name="connsiteY0" fmla="*/ 23126 h 23125"/>
              <a:gd name="connsiteX1" fmla="*/ 11563 w 172998"/>
              <a:gd name="connsiteY1" fmla="*/ 23126 h 23125"/>
              <a:gd name="connsiteX2" fmla="*/ 0 w 172998"/>
              <a:gd name="connsiteY2" fmla="*/ 11563 h 23125"/>
              <a:gd name="connsiteX3" fmla="*/ 11563 w 172998"/>
              <a:gd name="connsiteY3" fmla="*/ 0 h 23125"/>
              <a:gd name="connsiteX4" fmla="*/ 161435 w 172998"/>
              <a:gd name="connsiteY4" fmla="*/ 0 h 23125"/>
              <a:gd name="connsiteX5" fmla="*/ 172998 w 172998"/>
              <a:gd name="connsiteY5" fmla="*/ 11563 h 23125"/>
              <a:gd name="connsiteX6" fmla="*/ 161435 w 172998"/>
              <a:gd name="connsiteY6" fmla="*/ 23126 h 2312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</a:cxnLst>
            <a:rect l="l" t="t" r="r" b="b"/>
            <a:pathLst>
              <a:path w="172998" h="23125">
                <a:moveTo>
                  <a:pt x="161435" y="23126"/>
                </a:moveTo>
                <a:lnTo>
                  <a:pt x="11563" y="23126"/>
                </a:lnTo>
                <a:cubicBezTo>
                  <a:pt x="5177" y="23126"/>
                  <a:pt x="0" y="17949"/>
                  <a:pt x="0" y="11563"/>
                </a:cubicBezTo>
                <a:cubicBezTo>
                  <a:pt x="0" y="5177"/>
                  <a:pt x="5177" y="0"/>
                  <a:pt x="11563" y="0"/>
                </a:cubicBezTo>
                <a:lnTo>
                  <a:pt x="161435" y="0"/>
                </a:lnTo>
                <a:cubicBezTo>
                  <a:pt x="167821" y="0"/>
                  <a:pt x="172998" y="5177"/>
                  <a:pt x="172998" y="11563"/>
                </a:cubicBezTo>
                <a:cubicBezTo>
                  <a:pt x="172998" y="17949"/>
                  <a:pt x="167821" y="23126"/>
                  <a:pt x="161435" y="23126"/>
                </a:cubicBezTo>
                <a:close/>
              </a:path>
            </a:pathLst>
          </a:custGeom>
          <a:solidFill>
            <a:srgbClr val="444444"/>
          </a:solidFill>
          <a:ln w="726" cap="flat">
            <a:noFill/>
            <a:prstDash val="solid"/>
            <a:miter/>
          </a:ln>
        </xdr:spPr>
        <xdr:txBody>
          <a:bodyPr rtlCol="0" anchor="ctr"/>
          <a:lstStyle/>
          <a:p>
            <a:endParaRPr lang="pt-BR"/>
          </a:p>
        </xdr:txBody>
      </xdr:sp>
      <xdr:sp macro="" textlink="">
        <xdr:nvSpPr>
          <xdr:cNvPr id="61" name="Forma Livre: Forma 60">
            <a:extLst>
              <a:ext uri="{FF2B5EF4-FFF2-40B4-BE49-F238E27FC236}">
                <a16:creationId xmlns:a16="http://schemas.microsoft.com/office/drawing/2014/main" id="{00000000-0008-0000-0100-00003D000000}"/>
              </a:ext>
            </a:extLst>
          </xdr:cNvPr>
          <xdr:cNvSpPr/>
        </xdr:nvSpPr>
        <xdr:spPr>
          <a:xfrm>
            <a:off x="4090039" y="2554262"/>
            <a:ext cx="83753" cy="23125"/>
          </a:xfrm>
          <a:custGeom>
            <a:avLst/>
            <a:gdLst>
              <a:gd name="connsiteX0" fmla="*/ 72190 w 83753"/>
              <a:gd name="connsiteY0" fmla="*/ 23126 h 23125"/>
              <a:gd name="connsiteX1" fmla="*/ 11563 w 83753"/>
              <a:gd name="connsiteY1" fmla="*/ 23126 h 23125"/>
              <a:gd name="connsiteX2" fmla="*/ 0 w 83753"/>
              <a:gd name="connsiteY2" fmla="*/ 11563 h 23125"/>
              <a:gd name="connsiteX3" fmla="*/ 11563 w 83753"/>
              <a:gd name="connsiteY3" fmla="*/ 0 h 23125"/>
              <a:gd name="connsiteX4" fmla="*/ 72190 w 83753"/>
              <a:gd name="connsiteY4" fmla="*/ 0 h 23125"/>
              <a:gd name="connsiteX5" fmla="*/ 83753 w 83753"/>
              <a:gd name="connsiteY5" fmla="*/ 11563 h 23125"/>
              <a:gd name="connsiteX6" fmla="*/ 72190 w 83753"/>
              <a:gd name="connsiteY6" fmla="*/ 23126 h 2312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</a:cxnLst>
            <a:rect l="l" t="t" r="r" b="b"/>
            <a:pathLst>
              <a:path w="83753" h="23125">
                <a:moveTo>
                  <a:pt x="72190" y="23126"/>
                </a:moveTo>
                <a:lnTo>
                  <a:pt x="11563" y="23126"/>
                </a:lnTo>
                <a:cubicBezTo>
                  <a:pt x="5177" y="23126"/>
                  <a:pt x="0" y="17949"/>
                  <a:pt x="0" y="11563"/>
                </a:cubicBezTo>
                <a:cubicBezTo>
                  <a:pt x="0" y="5177"/>
                  <a:pt x="5177" y="0"/>
                  <a:pt x="11563" y="0"/>
                </a:cubicBezTo>
                <a:lnTo>
                  <a:pt x="72190" y="0"/>
                </a:lnTo>
                <a:cubicBezTo>
                  <a:pt x="78576" y="0"/>
                  <a:pt x="83753" y="5177"/>
                  <a:pt x="83753" y="11563"/>
                </a:cubicBezTo>
                <a:cubicBezTo>
                  <a:pt x="83753" y="17949"/>
                  <a:pt x="78576" y="23126"/>
                  <a:pt x="72190" y="23126"/>
                </a:cubicBezTo>
                <a:close/>
              </a:path>
            </a:pathLst>
          </a:custGeom>
          <a:solidFill>
            <a:srgbClr val="292929"/>
          </a:solidFill>
          <a:ln w="726" cap="flat">
            <a:noFill/>
            <a:prstDash val="solid"/>
            <a:miter/>
          </a:ln>
        </xdr:spPr>
        <xdr:txBody>
          <a:bodyPr rtlCol="0" anchor="ctr"/>
          <a:lstStyle/>
          <a:p>
            <a:endParaRPr lang="pt-BR"/>
          </a:p>
        </xdr:txBody>
      </xdr:sp>
      <xdr:sp macro="" textlink="">
        <xdr:nvSpPr>
          <xdr:cNvPr id="62" name="Forma Livre: Forma 61">
            <a:extLst>
              <a:ext uri="{FF2B5EF4-FFF2-40B4-BE49-F238E27FC236}">
                <a16:creationId xmlns:a16="http://schemas.microsoft.com/office/drawing/2014/main" id="{00000000-0008-0000-0100-00003E000000}"/>
              </a:ext>
            </a:extLst>
          </xdr:cNvPr>
          <xdr:cNvSpPr/>
        </xdr:nvSpPr>
        <xdr:spPr>
          <a:xfrm>
            <a:off x="4000794" y="2601524"/>
            <a:ext cx="172998" cy="23125"/>
          </a:xfrm>
          <a:custGeom>
            <a:avLst/>
            <a:gdLst>
              <a:gd name="connsiteX0" fmla="*/ 161435 w 172998"/>
              <a:gd name="connsiteY0" fmla="*/ 23126 h 23125"/>
              <a:gd name="connsiteX1" fmla="*/ 11563 w 172998"/>
              <a:gd name="connsiteY1" fmla="*/ 23126 h 23125"/>
              <a:gd name="connsiteX2" fmla="*/ 0 w 172998"/>
              <a:gd name="connsiteY2" fmla="*/ 11563 h 23125"/>
              <a:gd name="connsiteX3" fmla="*/ 11563 w 172998"/>
              <a:gd name="connsiteY3" fmla="*/ 0 h 23125"/>
              <a:gd name="connsiteX4" fmla="*/ 161435 w 172998"/>
              <a:gd name="connsiteY4" fmla="*/ 0 h 23125"/>
              <a:gd name="connsiteX5" fmla="*/ 172998 w 172998"/>
              <a:gd name="connsiteY5" fmla="*/ 11563 h 23125"/>
              <a:gd name="connsiteX6" fmla="*/ 161435 w 172998"/>
              <a:gd name="connsiteY6" fmla="*/ 23126 h 2312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</a:cxnLst>
            <a:rect l="l" t="t" r="r" b="b"/>
            <a:pathLst>
              <a:path w="172998" h="23125">
                <a:moveTo>
                  <a:pt x="161435" y="23126"/>
                </a:moveTo>
                <a:lnTo>
                  <a:pt x="11563" y="23126"/>
                </a:lnTo>
                <a:cubicBezTo>
                  <a:pt x="5177" y="23126"/>
                  <a:pt x="0" y="17949"/>
                  <a:pt x="0" y="11563"/>
                </a:cubicBezTo>
                <a:cubicBezTo>
                  <a:pt x="0" y="5177"/>
                  <a:pt x="5177" y="0"/>
                  <a:pt x="11563" y="0"/>
                </a:cubicBezTo>
                <a:lnTo>
                  <a:pt x="161435" y="0"/>
                </a:lnTo>
                <a:cubicBezTo>
                  <a:pt x="167821" y="0"/>
                  <a:pt x="172998" y="5177"/>
                  <a:pt x="172998" y="11563"/>
                </a:cubicBezTo>
                <a:cubicBezTo>
                  <a:pt x="172998" y="17949"/>
                  <a:pt x="167821" y="23126"/>
                  <a:pt x="161435" y="23126"/>
                </a:cubicBezTo>
                <a:close/>
              </a:path>
            </a:pathLst>
          </a:custGeom>
          <a:solidFill>
            <a:srgbClr val="444444"/>
          </a:solidFill>
          <a:ln w="726" cap="flat">
            <a:noFill/>
            <a:prstDash val="solid"/>
            <a:miter/>
          </a:ln>
        </xdr:spPr>
        <xdr:txBody>
          <a:bodyPr rtlCol="0" anchor="ctr"/>
          <a:lstStyle/>
          <a:p>
            <a:endParaRPr lang="pt-BR"/>
          </a:p>
        </xdr:txBody>
      </xdr:sp>
      <xdr:grpSp>
        <xdr:nvGrpSpPr>
          <xdr:cNvPr id="63" name="Gráfico 48">
            <a:extLst>
              <a:ext uri="{FF2B5EF4-FFF2-40B4-BE49-F238E27FC236}">
                <a16:creationId xmlns:a16="http://schemas.microsoft.com/office/drawing/2014/main" id="{00000000-0008-0000-0100-00003F000000}"/>
              </a:ext>
            </a:extLst>
          </xdr:cNvPr>
          <xdr:cNvGrpSpPr/>
        </xdr:nvGrpSpPr>
        <xdr:grpSpPr>
          <a:xfrm>
            <a:off x="4087528" y="2461221"/>
            <a:ext cx="86264" cy="163428"/>
            <a:chOff x="4087528" y="2461221"/>
            <a:chExt cx="86264" cy="163428"/>
          </a:xfrm>
          <a:solidFill>
            <a:srgbClr val="292929"/>
          </a:solidFill>
        </xdr:grpSpPr>
        <xdr:sp macro="" textlink="">
          <xdr:nvSpPr>
            <xdr:cNvPr id="64" name="Forma Livre: Forma 63">
              <a:extLst>
                <a:ext uri="{FF2B5EF4-FFF2-40B4-BE49-F238E27FC236}">
                  <a16:creationId xmlns:a16="http://schemas.microsoft.com/office/drawing/2014/main" id="{00000000-0008-0000-0100-000040000000}"/>
                </a:ext>
              </a:extLst>
            </xdr:cNvPr>
            <xdr:cNvSpPr/>
          </xdr:nvSpPr>
          <xdr:spPr>
            <a:xfrm>
              <a:off x="4087528" y="2461221"/>
              <a:ext cx="86264" cy="23125"/>
            </a:xfrm>
            <a:custGeom>
              <a:avLst/>
              <a:gdLst>
                <a:gd name="connsiteX0" fmla="*/ 74702 w 86264"/>
                <a:gd name="connsiteY0" fmla="*/ 23126 h 23125"/>
                <a:gd name="connsiteX1" fmla="*/ 86265 w 86264"/>
                <a:gd name="connsiteY1" fmla="*/ 11563 h 23125"/>
                <a:gd name="connsiteX2" fmla="*/ 74702 w 86264"/>
                <a:gd name="connsiteY2" fmla="*/ 0 h 23125"/>
                <a:gd name="connsiteX3" fmla="*/ 0 w 86264"/>
                <a:gd name="connsiteY3" fmla="*/ 0 h 23125"/>
                <a:gd name="connsiteX4" fmla="*/ 0 w 86264"/>
                <a:gd name="connsiteY4" fmla="*/ 23125 h 23125"/>
                <a:gd name="connsiteX5" fmla="*/ 74702 w 86264"/>
                <a:gd name="connsiteY5" fmla="*/ 23125 h 23125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</a:cxnLst>
              <a:rect l="l" t="t" r="r" b="b"/>
              <a:pathLst>
                <a:path w="86264" h="23125">
                  <a:moveTo>
                    <a:pt x="74702" y="23126"/>
                  </a:moveTo>
                  <a:cubicBezTo>
                    <a:pt x="81088" y="23126"/>
                    <a:pt x="86265" y="17949"/>
                    <a:pt x="86265" y="11563"/>
                  </a:cubicBezTo>
                  <a:cubicBezTo>
                    <a:pt x="86265" y="5177"/>
                    <a:pt x="81088" y="0"/>
                    <a:pt x="74702" y="0"/>
                  </a:cubicBezTo>
                  <a:lnTo>
                    <a:pt x="0" y="0"/>
                  </a:lnTo>
                  <a:lnTo>
                    <a:pt x="0" y="23125"/>
                  </a:lnTo>
                  <a:lnTo>
                    <a:pt x="74702" y="23125"/>
                  </a:lnTo>
                  <a:close/>
                </a:path>
              </a:pathLst>
            </a:custGeom>
            <a:solidFill>
              <a:srgbClr val="292929"/>
            </a:solidFill>
            <a:ln w="726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pt-BR"/>
            </a:p>
          </xdr:txBody>
        </xdr:sp>
        <xdr:sp macro="" textlink="">
          <xdr:nvSpPr>
            <xdr:cNvPr id="65" name="Forma Livre: Forma 64">
              <a:extLst>
                <a:ext uri="{FF2B5EF4-FFF2-40B4-BE49-F238E27FC236}">
                  <a16:creationId xmlns:a16="http://schemas.microsoft.com/office/drawing/2014/main" id="{00000000-0008-0000-0100-000041000000}"/>
                </a:ext>
              </a:extLst>
            </xdr:cNvPr>
            <xdr:cNvSpPr/>
          </xdr:nvSpPr>
          <xdr:spPr>
            <a:xfrm>
              <a:off x="4087528" y="2601524"/>
              <a:ext cx="86264" cy="23125"/>
            </a:xfrm>
            <a:custGeom>
              <a:avLst/>
              <a:gdLst>
                <a:gd name="connsiteX0" fmla="*/ 74702 w 86264"/>
                <a:gd name="connsiteY0" fmla="*/ 23126 h 23125"/>
                <a:gd name="connsiteX1" fmla="*/ 86265 w 86264"/>
                <a:gd name="connsiteY1" fmla="*/ 11563 h 23125"/>
                <a:gd name="connsiteX2" fmla="*/ 74702 w 86264"/>
                <a:gd name="connsiteY2" fmla="*/ 0 h 23125"/>
                <a:gd name="connsiteX3" fmla="*/ 0 w 86264"/>
                <a:gd name="connsiteY3" fmla="*/ 0 h 23125"/>
                <a:gd name="connsiteX4" fmla="*/ 0 w 86264"/>
                <a:gd name="connsiteY4" fmla="*/ 23125 h 23125"/>
                <a:gd name="connsiteX5" fmla="*/ 74702 w 86264"/>
                <a:gd name="connsiteY5" fmla="*/ 23125 h 23125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</a:cxnLst>
              <a:rect l="l" t="t" r="r" b="b"/>
              <a:pathLst>
                <a:path w="86264" h="23125">
                  <a:moveTo>
                    <a:pt x="74702" y="23126"/>
                  </a:moveTo>
                  <a:cubicBezTo>
                    <a:pt x="81088" y="23126"/>
                    <a:pt x="86265" y="17949"/>
                    <a:pt x="86265" y="11563"/>
                  </a:cubicBezTo>
                  <a:cubicBezTo>
                    <a:pt x="86265" y="5177"/>
                    <a:pt x="81088" y="0"/>
                    <a:pt x="74702" y="0"/>
                  </a:cubicBezTo>
                  <a:lnTo>
                    <a:pt x="0" y="0"/>
                  </a:lnTo>
                  <a:lnTo>
                    <a:pt x="0" y="23125"/>
                  </a:lnTo>
                  <a:lnTo>
                    <a:pt x="74702" y="23125"/>
                  </a:lnTo>
                  <a:close/>
                </a:path>
              </a:pathLst>
            </a:custGeom>
            <a:solidFill>
              <a:srgbClr val="292929"/>
            </a:solidFill>
            <a:ln w="726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pt-BR"/>
            </a:p>
          </xdr:txBody>
        </xdr:sp>
      </xdr:grpSp>
    </xdr:grpSp>
    <xdr:clientData/>
  </xdr:twoCellAnchor>
  <xdr:twoCellAnchor>
    <xdr:from>
      <xdr:col>3</xdr:col>
      <xdr:colOff>238125</xdr:colOff>
      <xdr:row>30</xdr:row>
      <xdr:rowOff>80963</xdr:rowOff>
    </xdr:from>
    <xdr:to>
      <xdr:col>8</xdr:col>
      <xdr:colOff>247650</xdr:colOff>
      <xdr:row>40</xdr:row>
      <xdr:rowOff>80962</xdr:rowOff>
    </xdr:to>
    <xdr:graphicFrame macro="">
      <xdr:nvGraphicFramePr>
        <xdr:cNvPr id="69" name="Gráfico 68">
          <a:extLst>
            <a:ext uri="{FF2B5EF4-FFF2-40B4-BE49-F238E27FC236}">
              <a16:creationId xmlns:a16="http://schemas.microsoft.com/office/drawing/2014/main" id="{00000000-0008-0000-0100-00004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14</xdr:col>
      <xdr:colOff>190500</xdr:colOff>
      <xdr:row>28</xdr:row>
      <xdr:rowOff>152399</xdr:rowOff>
    </xdr:from>
    <xdr:to>
      <xdr:col>18</xdr:col>
      <xdr:colOff>548345</xdr:colOff>
      <xdr:row>40</xdr:row>
      <xdr:rowOff>123824</xdr:rowOff>
    </xdr:to>
    <xdr:sp macro="" textlink="">
      <xdr:nvSpPr>
        <xdr:cNvPr id="70" name="Retângulo 69">
          <a:extLst>
            <a:ext uri="{FF2B5EF4-FFF2-40B4-BE49-F238E27FC236}">
              <a16:creationId xmlns:a16="http://schemas.microsoft.com/office/drawing/2014/main" id="{00000000-0008-0000-0100-000046000000}"/>
            </a:ext>
          </a:extLst>
        </xdr:cNvPr>
        <xdr:cNvSpPr/>
      </xdr:nvSpPr>
      <xdr:spPr>
        <a:xfrm>
          <a:off x="8115300" y="4686299"/>
          <a:ext cx="2796245" cy="1914525"/>
        </a:xfrm>
        <a:prstGeom prst="rect">
          <a:avLst/>
        </a:prstGeom>
        <a:solidFill>
          <a:schemeClr val="bg1"/>
        </a:solidFill>
        <a:ln>
          <a:noFill/>
        </a:ln>
        <a:effectLst>
          <a:outerShdw blurRad="50800" dist="38100" dir="8100000" algn="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14</xdr:col>
      <xdr:colOff>380391</xdr:colOff>
      <xdr:row>32</xdr:row>
      <xdr:rowOff>66473</xdr:rowOff>
    </xdr:from>
    <xdr:to>
      <xdr:col>16</xdr:col>
      <xdr:colOff>228600</xdr:colOff>
      <xdr:row>38</xdr:row>
      <xdr:rowOff>76200</xdr:rowOff>
    </xdr:to>
    <xdr:sp macro="" textlink="'Análise Geral'!AG5">
      <xdr:nvSpPr>
        <xdr:cNvPr id="71" name="Elipse 70">
          <a:extLst>
            <a:ext uri="{FF2B5EF4-FFF2-40B4-BE49-F238E27FC236}">
              <a16:creationId xmlns:a16="http://schemas.microsoft.com/office/drawing/2014/main" id="{00000000-0008-0000-0100-000047000000}"/>
            </a:ext>
          </a:extLst>
        </xdr:cNvPr>
        <xdr:cNvSpPr/>
      </xdr:nvSpPr>
      <xdr:spPr>
        <a:xfrm>
          <a:off x="8305191" y="5248073"/>
          <a:ext cx="1067409" cy="981277"/>
        </a:xfrm>
        <a:prstGeom prst="ellipse">
          <a:avLst/>
        </a:prstGeom>
        <a:solidFill>
          <a:schemeClr val="tx1">
            <a:lumMod val="50000"/>
            <a:lumOff val="50000"/>
          </a:schemeClr>
        </a:solidFill>
        <a:ln w="38100">
          <a:solidFill>
            <a:schemeClr val="accent2"/>
          </a:solidFill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1EEBC83B-2C2D-44A1-8D49-7F08949FF6C7}" type="TxLink">
            <a:rPr lang="en-US" sz="2400" b="0" i="0" u="none" strike="noStrike">
              <a:solidFill>
                <a:sysClr val="windowText" lastClr="000000"/>
              </a:solidFill>
              <a:latin typeface="Trebuchet MS" panose="020B0603020202020204" pitchFamily="34" charset="0"/>
              <a:cs typeface="Calibri"/>
            </a:rPr>
            <a:pPr algn="ctr"/>
            <a:t>29</a:t>
          </a:fld>
          <a:endParaRPr lang="pt-BR" sz="6600" b="0">
            <a:solidFill>
              <a:sysClr val="windowText" lastClr="000000"/>
            </a:solidFill>
            <a:latin typeface="Trebuchet MS" panose="020B0603020202020204" pitchFamily="34" charset="0"/>
          </a:endParaRPr>
        </a:p>
      </xdr:txBody>
    </xdr:sp>
    <xdr:clientData/>
  </xdr:twoCellAnchor>
  <xdr:twoCellAnchor>
    <xdr:from>
      <xdr:col>14</xdr:col>
      <xdr:colOff>180109</xdr:colOff>
      <xdr:row>29</xdr:row>
      <xdr:rowOff>47624</xdr:rowOff>
    </xdr:from>
    <xdr:to>
      <xdr:col>18</xdr:col>
      <xdr:colOff>581891</xdr:colOff>
      <xdr:row>30</xdr:row>
      <xdr:rowOff>9524</xdr:rowOff>
    </xdr:to>
    <xdr:sp macro="" textlink="">
      <xdr:nvSpPr>
        <xdr:cNvPr id="73" name="CaixaDeTexto 72">
          <a:extLst>
            <a:ext uri="{FF2B5EF4-FFF2-40B4-BE49-F238E27FC236}">
              <a16:creationId xmlns:a16="http://schemas.microsoft.com/office/drawing/2014/main" id="{00000000-0008-0000-0100-000049000000}"/>
            </a:ext>
          </a:extLst>
        </xdr:cNvPr>
        <xdr:cNvSpPr txBox="1"/>
      </xdr:nvSpPr>
      <xdr:spPr>
        <a:xfrm>
          <a:off x="8104909" y="4743449"/>
          <a:ext cx="2840182" cy="1238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000" b="1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TEMPO MÉDIO DE ATENDIMENTO (DIAS) - AGING</a:t>
          </a:r>
          <a:endParaRPr lang="pt-BR" sz="1000" b="1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16</xdr:col>
      <xdr:colOff>580416</xdr:colOff>
      <xdr:row>32</xdr:row>
      <xdr:rowOff>66473</xdr:rowOff>
    </xdr:from>
    <xdr:to>
      <xdr:col>18</xdr:col>
      <xdr:colOff>428625</xdr:colOff>
      <xdr:row>38</xdr:row>
      <xdr:rowOff>76200</xdr:rowOff>
    </xdr:to>
    <xdr:sp macro="" textlink="'Análise Geral'!AG12">
      <xdr:nvSpPr>
        <xdr:cNvPr id="66" name="Elipse 65">
          <a:extLst>
            <a:ext uri="{FF2B5EF4-FFF2-40B4-BE49-F238E27FC236}">
              <a16:creationId xmlns:a16="http://schemas.microsoft.com/office/drawing/2014/main" id="{00000000-0008-0000-0100-000042000000}"/>
            </a:ext>
          </a:extLst>
        </xdr:cNvPr>
        <xdr:cNvSpPr/>
      </xdr:nvSpPr>
      <xdr:spPr>
        <a:xfrm>
          <a:off x="9724416" y="5248073"/>
          <a:ext cx="1067409" cy="981277"/>
        </a:xfrm>
        <a:prstGeom prst="ellipse">
          <a:avLst/>
        </a:prstGeom>
        <a:solidFill>
          <a:schemeClr val="tx1">
            <a:lumMod val="50000"/>
            <a:lumOff val="50000"/>
          </a:schemeClr>
        </a:solidFill>
        <a:ln w="38100">
          <a:solidFill>
            <a:schemeClr val="accent2"/>
          </a:solidFill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fld id="{48F981B1-54AD-4640-8243-AC87E01DAE37}" type="TxLink">
            <a:rPr lang="en-US" sz="2400" b="0" i="0" u="none" strike="noStrike">
              <a:solidFill>
                <a:sysClr val="windowText" lastClr="000000"/>
              </a:solidFill>
              <a:latin typeface="Trebuchet MS" panose="020B0603020202020204" pitchFamily="34" charset="0"/>
              <a:ea typeface="+mn-ea"/>
              <a:cs typeface="Calibri"/>
            </a:rPr>
            <a:pPr marL="0" indent="0" algn="ctr"/>
            <a:t>9</a:t>
          </a:fld>
          <a:endParaRPr lang="pt-BR" sz="2400" b="0" i="0" u="none" strike="noStrike">
            <a:solidFill>
              <a:sysClr val="windowText" lastClr="000000"/>
            </a:solidFill>
            <a:latin typeface="Trebuchet MS" panose="020B0603020202020204" pitchFamily="34" charset="0"/>
            <a:ea typeface="+mn-ea"/>
            <a:cs typeface="Calibri"/>
          </a:endParaRPr>
        </a:p>
      </xdr:txBody>
    </xdr:sp>
    <xdr:clientData/>
  </xdr:twoCellAnchor>
  <xdr:twoCellAnchor>
    <xdr:from>
      <xdr:col>14</xdr:col>
      <xdr:colOff>424372</xdr:colOff>
      <xdr:row>30</xdr:row>
      <xdr:rowOff>152401</xdr:rowOff>
    </xdr:from>
    <xdr:to>
      <xdr:col>16</xdr:col>
      <xdr:colOff>133350</xdr:colOff>
      <xdr:row>31</xdr:row>
      <xdr:rowOff>133350</xdr:rowOff>
    </xdr:to>
    <xdr:sp macro="" textlink="">
      <xdr:nvSpPr>
        <xdr:cNvPr id="67" name="CaixaDeTexto 66">
          <a:extLst>
            <a:ext uri="{FF2B5EF4-FFF2-40B4-BE49-F238E27FC236}">
              <a16:creationId xmlns:a16="http://schemas.microsoft.com/office/drawing/2014/main" id="{00000000-0008-0000-0100-000043000000}"/>
            </a:ext>
          </a:extLst>
        </xdr:cNvPr>
        <xdr:cNvSpPr txBox="1"/>
      </xdr:nvSpPr>
      <xdr:spPr>
        <a:xfrm>
          <a:off x="8349172" y="5010151"/>
          <a:ext cx="928178" cy="1428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000" b="1" cap="none" spc="0" baseline="0">
              <a:ln w="0"/>
              <a:solidFill>
                <a:sysClr val="windowText" lastClr="00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RC'S</a:t>
          </a:r>
          <a:endParaRPr lang="pt-BR" sz="1000" b="1" cap="none" spc="0">
            <a:ln w="0"/>
            <a:solidFill>
              <a:sysClr val="windowText" lastClr="00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17</xdr:col>
      <xdr:colOff>52897</xdr:colOff>
      <xdr:row>30</xdr:row>
      <xdr:rowOff>152401</xdr:rowOff>
    </xdr:from>
    <xdr:to>
      <xdr:col>18</xdr:col>
      <xdr:colOff>371475</xdr:colOff>
      <xdr:row>31</xdr:row>
      <xdr:rowOff>133350</xdr:rowOff>
    </xdr:to>
    <xdr:sp macro="" textlink="">
      <xdr:nvSpPr>
        <xdr:cNvPr id="72" name="CaixaDeTexto 71">
          <a:extLst>
            <a:ext uri="{FF2B5EF4-FFF2-40B4-BE49-F238E27FC236}">
              <a16:creationId xmlns:a16="http://schemas.microsoft.com/office/drawing/2014/main" id="{00000000-0008-0000-0100-000048000000}"/>
            </a:ext>
          </a:extLst>
        </xdr:cNvPr>
        <xdr:cNvSpPr txBox="1"/>
      </xdr:nvSpPr>
      <xdr:spPr>
        <a:xfrm>
          <a:off x="9806497" y="5010151"/>
          <a:ext cx="928178" cy="1428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000" b="1" cap="none" spc="0" baseline="0">
              <a:ln w="0"/>
              <a:solidFill>
                <a:schemeClr val="tx1">
                  <a:lumMod val="85000"/>
                  <a:lumOff val="1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ITEM</a:t>
          </a:r>
          <a:endParaRPr lang="pt-BR" sz="1000" b="1" cap="none" spc="0">
            <a:ln w="0"/>
            <a:solidFill>
              <a:schemeClr val="tx1">
                <a:lumMod val="85000"/>
                <a:lumOff val="15000"/>
              </a:schemeClr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9</xdr:col>
      <xdr:colOff>123825</xdr:colOff>
      <xdr:row>29</xdr:row>
      <xdr:rowOff>33336</xdr:rowOff>
    </xdr:from>
    <xdr:to>
      <xdr:col>13</xdr:col>
      <xdr:colOff>561975</xdr:colOff>
      <xdr:row>30</xdr:row>
      <xdr:rowOff>90487</xdr:rowOff>
    </xdr:to>
    <xdr:sp macro="" textlink="">
      <xdr:nvSpPr>
        <xdr:cNvPr id="74" name="CaixaDeTexto 73">
          <a:extLst>
            <a:ext uri="{FF2B5EF4-FFF2-40B4-BE49-F238E27FC236}">
              <a16:creationId xmlns:a16="http://schemas.microsoft.com/office/drawing/2014/main" id="{00000000-0008-0000-0100-00004A000000}"/>
            </a:ext>
          </a:extLst>
        </xdr:cNvPr>
        <xdr:cNvSpPr txBox="1"/>
      </xdr:nvSpPr>
      <xdr:spPr>
        <a:xfrm>
          <a:off x="5000625" y="4729161"/>
          <a:ext cx="2876550" cy="2190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000" b="1" i="0" u="none" strike="noStrike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Calibri"/>
              <a:cs typeface="Calibri"/>
            </a:rPr>
            <a:t>ITENS RECEBIDOS</a:t>
          </a:r>
          <a:r>
            <a:rPr lang="pt-BR" sz="1000" b="1" i="0" u="none" strike="noStrike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Calibri"/>
              <a:cs typeface="Calibri"/>
            </a:rPr>
            <a:t> - ATENDIDOS X NÃO ATENDIDOS</a:t>
          </a:r>
          <a:endParaRPr lang="pt-BR" sz="1000" b="1" i="0" u="none" strike="noStrike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Calibri"/>
            <a:cs typeface="Calibri"/>
          </a:endParaRPr>
        </a:p>
      </xdr:txBody>
    </xdr:sp>
    <xdr:clientData/>
  </xdr:twoCellAnchor>
  <xdr:twoCellAnchor>
    <xdr:from>
      <xdr:col>9</xdr:col>
      <xdr:colOff>0</xdr:colOff>
      <xdr:row>30</xdr:row>
      <xdr:rowOff>80963</xdr:rowOff>
    </xdr:from>
    <xdr:to>
      <xdr:col>14</xdr:col>
      <xdr:colOff>9525</xdr:colOff>
      <xdr:row>40</xdr:row>
      <xdr:rowOff>80962</xdr:rowOff>
    </xdr:to>
    <xdr:graphicFrame macro="">
      <xdr:nvGraphicFramePr>
        <xdr:cNvPr id="75" name="Gráfico 74">
          <a:extLst>
            <a:ext uri="{FF2B5EF4-FFF2-40B4-BE49-F238E27FC236}">
              <a16:creationId xmlns:a16="http://schemas.microsoft.com/office/drawing/2014/main" id="{00000000-0008-0000-0100-00004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</xdr:col>
      <xdr:colOff>238125</xdr:colOff>
      <xdr:row>4</xdr:row>
      <xdr:rowOff>95250</xdr:rowOff>
    </xdr:from>
    <xdr:to>
      <xdr:col>2</xdr:col>
      <xdr:colOff>496402</xdr:colOff>
      <xdr:row>6</xdr:row>
      <xdr:rowOff>57149</xdr:rowOff>
    </xdr:to>
    <xdr:sp macro="" textlink="">
      <xdr:nvSpPr>
        <xdr:cNvPr id="76" name="CaixaDeTexto 75">
          <a:extLst>
            <a:ext uri="{FF2B5EF4-FFF2-40B4-BE49-F238E27FC236}">
              <a16:creationId xmlns:a16="http://schemas.microsoft.com/office/drawing/2014/main" id="{00000000-0008-0000-0100-00004C000000}"/>
            </a:ext>
          </a:extLst>
        </xdr:cNvPr>
        <xdr:cNvSpPr txBox="1"/>
      </xdr:nvSpPr>
      <xdr:spPr>
        <a:xfrm>
          <a:off x="238125" y="742950"/>
          <a:ext cx="867877" cy="28574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0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Trebuchet MS" panose="020B0603020202020204" pitchFamily="34" charset="0"/>
            </a:rPr>
            <a:t>ANO</a:t>
          </a:r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</xdr:colOff>
          <xdr:row>6</xdr:row>
          <xdr:rowOff>47625</xdr:rowOff>
        </xdr:from>
        <xdr:to>
          <xdr:col>3</xdr:col>
          <xdr:colOff>66675</xdr:colOff>
          <xdr:row>8</xdr:row>
          <xdr:rowOff>0</xdr:rowOff>
        </xdr:to>
        <xdr:sp macro="" textlink="">
          <xdr:nvSpPr>
            <xdr:cNvPr id="2991" name="Drop Down 943" hidden="1">
              <a:extLst>
                <a:ext uri="{63B3BB69-23CF-44E3-9099-C40C66FF867C}">
                  <a14:compatExt spid="_x0000_s2991"/>
                </a:ext>
                <a:ext uri="{FF2B5EF4-FFF2-40B4-BE49-F238E27FC236}">
                  <a16:creationId xmlns:a16="http://schemas.microsoft.com/office/drawing/2014/main" id="{00000000-0008-0000-0100-0000AF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 editAs="absolute">
    <xdr:from>
      <xdr:col>3</xdr:col>
      <xdr:colOff>123825</xdr:colOff>
      <xdr:row>0</xdr:row>
      <xdr:rowOff>47625</xdr:rowOff>
    </xdr:from>
    <xdr:to>
      <xdr:col>6</xdr:col>
      <xdr:colOff>123825</xdr:colOff>
      <xdr:row>5</xdr:row>
      <xdr:rowOff>76200</xdr:rowOff>
    </xdr:to>
    <xdr:graphicFrame macro="">
      <xdr:nvGraphicFramePr>
        <xdr:cNvPr id="78" name="Diagrama 77">
          <a:extLst>
            <a:ext uri="{FF2B5EF4-FFF2-40B4-BE49-F238E27FC236}">
              <a16:creationId xmlns:a16="http://schemas.microsoft.com/office/drawing/2014/main" id="{00000000-0008-0000-0100-00004E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diagram">
          <dgm:relIds xmlns:dgm="http://schemas.openxmlformats.org/drawingml/2006/diagram" xmlns:r="http://schemas.openxmlformats.org/officeDocument/2006/relationships" r:dm="rId17" r:lo="rId18" r:qs="rId19" r:cs="rId20"/>
        </a:graphicData>
      </a:graphic>
    </xdr:graphicFrame>
    <xdr:clientData fLock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76189</xdr:colOff>
      <xdr:row>0</xdr:row>
      <xdr:rowOff>66675</xdr:rowOff>
    </xdr:from>
    <xdr:to>
      <xdr:col>19</xdr:col>
      <xdr:colOff>19050</xdr:colOff>
      <xdr:row>41</xdr:row>
      <xdr:rowOff>19050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1295389" y="66675"/>
          <a:ext cx="9696461" cy="65913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oneCellAnchor>
    <xdr:from>
      <xdr:col>6</xdr:col>
      <xdr:colOff>259097</xdr:colOff>
      <xdr:row>0</xdr:row>
      <xdr:rowOff>95250</xdr:rowOff>
    </xdr:from>
    <xdr:ext cx="7730963" cy="781111"/>
    <xdr:sp macro="" textlink="">
      <xdr:nvSpPr>
        <xdr:cNvPr id="3" name="Retângulo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3307097" y="95250"/>
          <a:ext cx="7730963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pt-BR" sz="4400" b="1" cap="none" spc="0">
              <a:ln/>
              <a:pattFill prst="dkUpDiag">
                <a:fgClr>
                  <a:schemeClr val="bg1">
                    <a:lumMod val="50000"/>
                  </a:schemeClr>
                </a:fgClr>
                <a:bgClr>
                  <a:schemeClr val="tx1">
                    <a:lumMod val="75000"/>
                    <a:lumOff val="25000"/>
                  </a:schemeClr>
                </a:bgClr>
              </a:pattFill>
              <a:effectLst>
                <a:outerShdw blurRad="38100" dist="19050" dir="2700000" algn="tl" rotWithShape="0">
                  <a:schemeClr val="dk1">
                    <a:lumMod val="50000"/>
                    <a:alpha val="40000"/>
                  </a:schemeClr>
                </a:outerShdw>
              </a:effectLst>
            </a:rPr>
            <a:t>DASHBOARD </a:t>
          </a:r>
          <a:r>
            <a:rPr lang="pt-BR" sz="2800" b="1" cap="none" spc="0">
              <a:ln/>
              <a:solidFill>
                <a:schemeClr val="accent2"/>
              </a:solidFill>
              <a:effectLst>
                <a:outerShdw blurRad="50800" dist="38100" dir="8100000" algn="tr" rotWithShape="0">
                  <a:prstClr val="black">
                    <a:alpha val="40000"/>
                  </a:prstClr>
                </a:outerShdw>
              </a:effectLst>
            </a:rPr>
            <a:t>ATENDIMENTO COMPRADOR</a:t>
          </a:r>
          <a:endParaRPr lang="pt-BR" sz="4400" b="1" cap="none" spc="0">
            <a:ln/>
            <a:solidFill>
              <a:schemeClr val="accent2"/>
            </a:solidFill>
            <a:effectLst>
              <a:outerShdw blurRad="50800" dist="38100" dir="8100000" algn="tr" rotWithShape="0">
                <a:prstClr val="black">
                  <a:alpha val="40000"/>
                </a:prstClr>
              </a:outerShdw>
            </a:effectLst>
          </a:endParaRPr>
        </a:p>
      </xdr:txBody>
    </xdr:sp>
    <xdr:clientData/>
  </xdr:oneCellAnchor>
  <xdr:twoCellAnchor>
    <xdr:from>
      <xdr:col>12</xdr:col>
      <xdr:colOff>485775</xdr:colOff>
      <xdr:row>28</xdr:row>
      <xdr:rowOff>161925</xdr:rowOff>
    </xdr:from>
    <xdr:to>
      <xdr:col>18</xdr:col>
      <xdr:colOff>447675</xdr:colOff>
      <xdr:row>40</xdr:row>
      <xdr:rowOff>61912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133348</xdr:colOff>
      <xdr:row>7</xdr:row>
      <xdr:rowOff>123825</xdr:rowOff>
    </xdr:from>
    <xdr:to>
      <xdr:col>18</xdr:col>
      <xdr:colOff>552449</xdr:colOff>
      <xdr:row>17</xdr:row>
      <xdr:rowOff>133351</xdr:rowOff>
    </xdr:to>
    <xdr:sp macro="" textlink="">
      <xdr:nvSpPr>
        <xdr:cNvPr id="5" name="Retângulo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1352548" y="1257300"/>
          <a:ext cx="9563101" cy="1628776"/>
        </a:xfrm>
        <a:prstGeom prst="rect">
          <a:avLst/>
        </a:prstGeom>
        <a:solidFill>
          <a:schemeClr val="bg1"/>
        </a:solidFill>
        <a:ln>
          <a:noFill/>
        </a:ln>
        <a:effectLst>
          <a:outerShdw blurRad="50800" dist="38100" dir="8100000" algn="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3</xdr:col>
      <xdr:colOff>152401</xdr:colOff>
      <xdr:row>18</xdr:row>
      <xdr:rowOff>114300</xdr:rowOff>
    </xdr:from>
    <xdr:to>
      <xdr:col>18</xdr:col>
      <xdr:colOff>552450</xdr:colOff>
      <xdr:row>29</xdr:row>
      <xdr:rowOff>0</xdr:rowOff>
    </xdr:to>
    <xdr:sp macro="" textlink="">
      <xdr:nvSpPr>
        <xdr:cNvPr id="6" name="Retângulo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1371601" y="3028950"/>
          <a:ext cx="9544049" cy="1666875"/>
        </a:xfrm>
        <a:prstGeom prst="rect">
          <a:avLst/>
        </a:prstGeom>
        <a:solidFill>
          <a:schemeClr val="bg1"/>
        </a:solidFill>
        <a:ln>
          <a:noFill/>
        </a:ln>
        <a:effectLst>
          <a:outerShdw blurRad="50800" dist="38100" dir="8100000" algn="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</xdr:col>
      <xdr:colOff>142875</xdr:colOff>
      <xdr:row>10</xdr:row>
      <xdr:rowOff>114299</xdr:rowOff>
    </xdr:from>
    <xdr:to>
      <xdr:col>6</xdr:col>
      <xdr:colOff>47625</xdr:colOff>
      <xdr:row>12</xdr:row>
      <xdr:rowOff>38099</xdr:rowOff>
    </xdr:to>
    <xdr:sp macro="" textlink="">
      <xdr:nvSpPr>
        <xdr:cNvPr id="7" name="CaixaDeTexto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 txBox="1"/>
      </xdr:nvSpPr>
      <xdr:spPr>
        <a:xfrm>
          <a:off x="1971675" y="1733549"/>
          <a:ext cx="1123950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000" b="1" cap="none" spc="0">
              <a:ln w="0"/>
              <a:solidFill>
                <a:schemeClr val="tx1">
                  <a:lumMod val="65000"/>
                  <a:lumOff val="3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CONCLUÍDO</a:t>
          </a:r>
        </a:p>
      </xdr:txBody>
    </xdr:sp>
    <xdr:clientData/>
  </xdr:twoCellAnchor>
  <xdr:twoCellAnchor>
    <xdr:from>
      <xdr:col>8</xdr:col>
      <xdr:colOff>514350</xdr:colOff>
      <xdr:row>29</xdr:row>
      <xdr:rowOff>123826</xdr:rowOff>
    </xdr:from>
    <xdr:to>
      <xdr:col>14</xdr:col>
      <xdr:colOff>76200</xdr:colOff>
      <xdr:row>41</xdr:row>
      <xdr:rowOff>76201</xdr:rowOff>
    </xdr:to>
    <xdr:sp macro="" textlink="">
      <xdr:nvSpPr>
        <xdr:cNvPr id="8" name="Retângulo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/>
      </xdr:nvSpPr>
      <xdr:spPr>
        <a:xfrm>
          <a:off x="4781550" y="4819651"/>
          <a:ext cx="3219450" cy="1895475"/>
        </a:xfrm>
        <a:prstGeom prst="rect">
          <a:avLst/>
        </a:prstGeom>
        <a:solidFill>
          <a:schemeClr val="bg1"/>
        </a:solidFill>
        <a:ln>
          <a:noFill/>
        </a:ln>
        <a:effectLst>
          <a:outerShdw blurRad="50800" dist="38100" dir="8100000" algn="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3</xdr:col>
      <xdr:colOff>161927</xdr:colOff>
      <xdr:row>29</xdr:row>
      <xdr:rowOff>123824</xdr:rowOff>
    </xdr:from>
    <xdr:to>
      <xdr:col>8</xdr:col>
      <xdr:colOff>332327</xdr:colOff>
      <xdr:row>41</xdr:row>
      <xdr:rowOff>76199</xdr:rowOff>
    </xdr:to>
    <xdr:sp macro="" textlink="">
      <xdr:nvSpPr>
        <xdr:cNvPr id="9" name="Retângulo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SpPr/>
      </xdr:nvSpPr>
      <xdr:spPr>
        <a:xfrm>
          <a:off x="1381127" y="4819649"/>
          <a:ext cx="3218400" cy="1895475"/>
        </a:xfrm>
        <a:prstGeom prst="rect">
          <a:avLst/>
        </a:prstGeom>
        <a:solidFill>
          <a:schemeClr val="bg1"/>
        </a:solidFill>
        <a:ln>
          <a:noFill/>
        </a:ln>
        <a:effectLst>
          <a:outerShdw blurRad="50800" dist="38100" dir="8100000" algn="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8</xdr:col>
      <xdr:colOff>561975</xdr:colOff>
      <xdr:row>18</xdr:row>
      <xdr:rowOff>95251</xdr:rowOff>
    </xdr:from>
    <xdr:to>
      <xdr:col>18</xdr:col>
      <xdr:colOff>495300</xdr:colOff>
      <xdr:row>29</xdr:row>
      <xdr:rowOff>28575</xdr:rowOff>
    </xdr:to>
    <xdr:graphicFrame macro="">
      <xdr:nvGraphicFramePr>
        <xdr:cNvPr id="10" name="Gráfico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114300</xdr:colOff>
      <xdr:row>14</xdr:row>
      <xdr:rowOff>157163</xdr:rowOff>
    </xdr:from>
    <xdr:to>
      <xdr:col>6</xdr:col>
      <xdr:colOff>38100</xdr:colOff>
      <xdr:row>16</xdr:row>
      <xdr:rowOff>80963</xdr:rowOff>
    </xdr:to>
    <xdr:sp macro="" textlink="">
      <xdr:nvSpPr>
        <xdr:cNvPr id="11" name="CaixaDeTexto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SpPr txBox="1"/>
      </xdr:nvSpPr>
      <xdr:spPr>
        <a:xfrm>
          <a:off x="1943100" y="2424113"/>
          <a:ext cx="1143000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000" b="1" cap="none" spc="0">
              <a:ln w="0"/>
              <a:solidFill>
                <a:schemeClr val="tx1">
                  <a:lumMod val="65000"/>
                  <a:lumOff val="3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EM</a:t>
          </a:r>
          <a:r>
            <a:rPr lang="pt-BR" sz="1000" b="1" cap="none" spc="0" baseline="0">
              <a:ln w="0"/>
              <a:solidFill>
                <a:schemeClr val="tx1">
                  <a:lumMod val="65000"/>
                  <a:lumOff val="3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ANDAMENTO</a:t>
          </a:r>
          <a:endParaRPr lang="pt-BR" sz="1000" b="1" cap="none" spc="0">
            <a:ln w="0"/>
            <a:solidFill>
              <a:schemeClr val="tx1">
                <a:lumMod val="65000"/>
                <a:lumOff val="35000"/>
              </a:schemeClr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8</xdr:col>
      <xdr:colOff>219075</xdr:colOff>
      <xdr:row>10</xdr:row>
      <xdr:rowOff>113924</xdr:rowOff>
    </xdr:from>
    <xdr:to>
      <xdr:col>10</xdr:col>
      <xdr:colOff>87075</xdr:colOff>
      <xdr:row>12</xdr:row>
      <xdr:rowOff>38474</xdr:rowOff>
    </xdr:to>
    <xdr:sp macro="" textlink="">
      <xdr:nvSpPr>
        <xdr:cNvPr id="12" name="CaixaDeTexto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 txBox="1"/>
      </xdr:nvSpPr>
      <xdr:spPr>
        <a:xfrm>
          <a:off x="4486275" y="1733174"/>
          <a:ext cx="1087200" cy="248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000" b="1" cap="none" spc="0">
              <a:ln w="0"/>
              <a:solidFill>
                <a:schemeClr val="tx1">
                  <a:lumMod val="65000"/>
                  <a:lumOff val="3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PENDENTE</a:t>
          </a:r>
        </a:p>
      </xdr:txBody>
    </xdr:sp>
    <xdr:clientData/>
  </xdr:twoCellAnchor>
  <xdr:twoCellAnchor>
    <xdr:from>
      <xdr:col>4</xdr:col>
      <xdr:colOff>9524</xdr:colOff>
      <xdr:row>11</xdr:row>
      <xdr:rowOff>152400</xdr:rowOff>
    </xdr:from>
    <xdr:to>
      <xdr:col>6</xdr:col>
      <xdr:colOff>180976</xdr:colOff>
      <xdr:row>13</xdr:row>
      <xdr:rowOff>152400</xdr:rowOff>
    </xdr:to>
    <xdr:graphicFrame macro="">
      <xdr:nvGraphicFramePr>
        <xdr:cNvPr id="13" name="Gráfico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47624</xdr:colOff>
      <xdr:row>12</xdr:row>
      <xdr:rowOff>9525</xdr:rowOff>
    </xdr:from>
    <xdr:to>
      <xdr:col>7</xdr:col>
      <xdr:colOff>86024</xdr:colOff>
      <xdr:row>13</xdr:row>
      <xdr:rowOff>85724</xdr:rowOff>
    </xdr:to>
    <xdr:sp macro="" textlink="'Análise Comprador'!Y3">
      <xdr:nvSpPr>
        <xdr:cNvPr id="14" name="CaixaDeTexto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SpPr txBox="1"/>
      </xdr:nvSpPr>
      <xdr:spPr>
        <a:xfrm>
          <a:off x="3095624" y="1952625"/>
          <a:ext cx="648000" cy="2381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3E311FA-CED2-450A-9811-6B5B9FEF5F3E}" type="TxLink">
            <a:rPr lang="en-US" sz="900" b="1" i="0" u="none" strike="noStrike" cap="none" spc="0">
              <a:ln w="0"/>
              <a:solidFill>
                <a:srgbClr val="00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Trebuchet MS" panose="020B0603020202020204" pitchFamily="34" charset="0"/>
              <a:cs typeface="Calibri"/>
            </a:rPr>
            <a:pPr algn="ctr"/>
            <a:t>50,00%</a:t>
          </a:fld>
          <a:endParaRPr lang="pt-BR" sz="600" b="1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Trebuchet MS" panose="020B0603020202020204" pitchFamily="34" charset="0"/>
          </a:endParaRPr>
        </a:p>
      </xdr:txBody>
    </xdr:sp>
    <xdr:clientData/>
  </xdr:twoCellAnchor>
  <xdr:twoCellAnchor>
    <xdr:from>
      <xdr:col>3</xdr:col>
      <xdr:colOff>590549</xdr:colOff>
      <xdr:row>16</xdr:row>
      <xdr:rowOff>0</xdr:rowOff>
    </xdr:from>
    <xdr:to>
      <xdr:col>6</xdr:col>
      <xdr:colOff>152401</xdr:colOff>
      <xdr:row>18</xdr:row>
      <xdr:rowOff>0</xdr:rowOff>
    </xdr:to>
    <xdr:graphicFrame macro="">
      <xdr:nvGraphicFramePr>
        <xdr:cNvPr id="15" name="Gráfico 14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28573</xdr:colOff>
      <xdr:row>16</xdr:row>
      <xdr:rowOff>47624</xdr:rowOff>
    </xdr:from>
    <xdr:to>
      <xdr:col>7</xdr:col>
      <xdr:colOff>66973</xdr:colOff>
      <xdr:row>17</xdr:row>
      <xdr:rowOff>100010</xdr:rowOff>
    </xdr:to>
    <xdr:sp macro="" textlink="'Análise Comprador'!Y4">
      <xdr:nvSpPr>
        <xdr:cNvPr id="16" name="CaixaDeTexto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SpPr txBox="1"/>
      </xdr:nvSpPr>
      <xdr:spPr>
        <a:xfrm>
          <a:off x="3076573" y="2638424"/>
          <a:ext cx="648000" cy="2143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404556B9-1B86-4441-B2AF-139776C47B92}" type="TxLink">
            <a:rPr lang="en-US" sz="900" b="1" i="0" u="none" strike="noStrike" cap="none" spc="0">
              <a:ln w="0"/>
              <a:solidFill>
                <a:srgbClr val="00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Trebuchet MS" panose="020B0603020202020204" pitchFamily="34" charset="0"/>
              <a:cs typeface="Calibri"/>
            </a:rPr>
            <a:pPr algn="ctr"/>
            <a:t>0,00%</a:t>
          </a:fld>
          <a:endParaRPr lang="pt-BR" sz="600" b="1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Trebuchet MS" panose="020B0603020202020204" pitchFamily="34" charset="0"/>
          </a:endParaRPr>
        </a:p>
      </xdr:txBody>
    </xdr:sp>
    <xdr:clientData/>
  </xdr:twoCellAnchor>
  <xdr:twoCellAnchor>
    <xdr:from>
      <xdr:col>8</xdr:col>
      <xdr:colOff>66674</xdr:colOff>
      <xdr:row>11</xdr:row>
      <xdr:rowOff>142875</xdr:rowOff>
    </xdr:from>
    <xdr:to>
      <xdr:col>10</xdr:col>
      <xdr:colOff>238126</xdr:colOff>
      <xdr:row>13</xdr:row>
      <xdr:rowOff>142875</xdr:rowOff>
    </xdr:to>
    <xdr:graphicFrame macro="">
      <xdr:nvGraphicFramePr>
        <xdr:cNvPr id="17" name="Gráfico 16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10</xdr:col>
      <xdr:colOff>104774</xdr:colOff>
      <xdr:row>12</xdr:row>
      <xdr:rowOff>28575</xdr:rowOff>
    </xdr:from>
    <xdr:to>
      <xdr:col>11</xdr:col>
      <xdr:colOff>142875</xdr:colOff>
      <xdr:row>13</xdr:row>
      <xdr:rowOff>85724</xdr:rowOff>
    </xdr:to>
    <xdr:sp macro="" textlink="'Análise Comprador'!Y5">
      <xdr:nvSpPr>
        <xdr:cNvPr id="18" name="CaixaDeTexto 17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SpPr txBox="1"/>
      </xdr:nvSpPr>
      <xdr:spPr>
        <a:xfrm>
          <a:off x="5591174" y="1971675"/>
          <a:ext cx="647701" cy="2190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5EE2166-A438-42EC-BB6A-6AAEA09F164C}" type="TxLink">
            <a:rPr lang="en-US" sz="900" b="1" i="0" u="none" strike="noStrike" cap="none" spc="0">
              <a:ln w="0"/>
              <a:solidFill>
                <a:srgbClr val="00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Trebuchet MS" panose="020B0603020202020204" pitchFamily="34" charset="0"/>
              <a:cs typeface="Calibri"/>
            </a:rPr>
            <a:pPr algn="ctr"/>
            <a:t>25,00%</a:t>
          </a:fld>
          <a:endParaRPr lang="pt-BR" sz="600" b="1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Trebuchet MS" panose="020B0603020202020204" pitchFamily="34" charset="0"/>
          </a:endParaRPr>
        </a:p>
      </xdr:txBody>
    </xdr:sp>
    <xdr:clientData/>
  </xdr:twoCellAnchor>
  <xdr:twoCellAnchor>
    <xdr:from>
      <xdr:col>8</xdr:col>
      <xdr:colOff>66674</xdr:colOff>
      <xdr:row>16</xdr:row>
      <xdr:rowOff>19050</xdr:rowOff>
    </xdr:from>
    <xdr:to>
      <xdr:col>10</xdr:col>
      <xdr:colOff>238126</xdr:colOff>
      <xdr:row>18</xdr:row>
      <xdr:rowOff>19050</xdr:rowOff>
    </xdr:to>
    <xdr:graphicFrame macro="">
      <xdr:nvGraphicFramePr>
        <xdr:cNvPr id="19" name="Gráfico 18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10</xdr:col>
      <xdr:colOff>104774</xdr:colOff>
      <xdr:row>16</xdr:row>
      <xdr:rowOff>52387</xdr:rowOff>
    </xdr:from>
    <xdr:to>
      <xdr:col>11</xdr:col>
      <xdr:colOff>143174</xdr:colOff>
      <xdr:row>17</xdr:row>
      <xdr:rowOff>90486</xdr:rowOff>
    </xdr:to>
    <xdr:sp macro="" textlink="'Análise Comprador'!Y6">
      <xdr:nvSpPr>
        <xdr:cNvPr id="20" name="CaixaDeTexto 19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SpPr txBox="1"/>
      </xdr:nvSpPr>
      <xdr:spPr>
        <a:xfrm>
          <a:off x="5591174" y="2643187"/>
          <a:ext cx="648000" cy="2000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4D6778F5-1C20-4E12-AB59-E469B3356C12}" type="TxLink">
            <a:rPr lang="en-US" sz="900" b="1" i="0" u="none" strike="noStrike" cap="none" spc="0">
              <a:ln w="0"/>
              <a:solidFill>
                <a:srgbClr val="00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Trebuchet MS" panose="020B0603020202020204" pitchFamily="34" charset="0"/>
              <a:cs typeface="Calibri"/>
            </a:rPr>
            <a:pPr algn="ctr"/>
            <a:t>25,00%</a:t>
          </a:fld>
          <a:endParaRPr lang="pt-BR" sz="600" b="1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Trebuchet MS" panose="020B0603020202020204" pitchFamily="34" charset="0"/>
          </a:endParaRPr>
        </a:p>
      </xdr:txBody>
    </xdr:sp>
    <xdr:clientData/>
  </xdr:twoCellAnchor>
  <xdr:twoCellAnchor>
    <xdr:from>
      <xdr:col>16</xdr:col>
      <xdr:colOff>438150</xdr:colOff>
      <xdr:row>10</xdr:row>
      <xdr:rowOff>84723</xdr:rowOff>
    </xdr:from>
    <xdr:to>
      <xdr:col>18</xdr:col>
      <xdr:colOff>201028</xdr:colOff>
      <xdr:row>16</xdr:row>
      <xdr:rowOff>86728</xdr:rowOff>
    </xdr:to>
    <xdr:sp macro="" textlink="'Análise Comprador'!X1">
      <xdr:nvSpPr>
        <xdr:cNvPr id="22" name="Elipse 21">
          <a:extLst>
            <a:ext uri="{FF2B5EF4-FFF2-40B4-BE49-F238E27FC236}">
              <a16:creationId xmlns:a16="http://schemas.microsoft.com/office/drawing/2014/main" id="{00000000-0008-0000-0200-000016000000}"/>
            </a:ext>
          </a:extLst>
        </xdr:cNvPr>
        <xdr:cNvSpPr/>
      </xdr:nvSpPr>
      <xdr:spPr>
        <a:xfrm>
          <a:off x="9582150" y="1703973"/>
          <a:ext cx="982078" cy="973555"/>
        </a:xfrm>
        <a:prstGeom prst="ellipse">
          <a:avLst/>
        </a:prstGeom>
        <a:solidFill>
          <a:schemeClr val="tx1">
            <a:lumMod val="50000"/>
            <a:lumOff val="50000"/>
          </a:schemeClr>
        </a:solidFill>
        <a:ln w="38100">
          <a:solidFill>
            <a:schemeClr val="accent2"/>
          </a:solidFill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D8A5A393-AAB8-4485-AB2B-1038B3304ACC}" type="TxLink">
            <a:rPr lang="en-US" sz="2000" b="0" i="0" u="none" strike="noStrike">
              <a:solidFill>
                <a:schemeClr val="bg1"/>
              </a:solidFill>
              <a:latin typeface="Trebuchet MS" panose="020B0603020202020204" pitchFamily="34" charset="0"/>
              <a:cs typeface="Calibri"/>
            </a:rPr>
            <a:pPr algn="ctr"/>
            <a:t>4</a:t>
          </a:fld>
          <a:endParaRPr lang="pt-BR" sz="6000" b="0">
            <a:solidFill>
              <a:schemeClr val="bg1"/>
            </a:solidFill>
            <a:latin typeface="Trebuchet MS" panose="020B0603020202020204" pitchFamily="34" charset="0"/>
          </a:endParaRPr>
        </a:p>
      </xdr:txBody>
    </xdr:sp>
    <xdr:clientData/>
  </xdr:twoCellAnchor>
  <xdr:twoCellAnchor>
    <xdr:from>
      <xdr:col>11</xdr:col>
      <xdr:colOff>246548</xdr:colOff>
      <xdr:row>11</xdr:row>
      <xdr:rowOff>56049</xdr:rowOff>
    </xdr:from>
    <xdr:to>
      <xdr:col>12</xdr:col>
      <xdr:colOff>581025</xdr:colOff>
      <xdr:row>12</xdr:row>
      <xdr:rowOff>76201</xdr:rowOff>
    </xdr:to>
    <xdr:sp macro="" textlink="">
      <xdr:nvSpPr>
        <xdr:cNvPr id="24" name="CaixaDeTexto 23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SpPr txBox="1"/>
      </xdr:nvSpPr>
      <xdr:spPr>
        <a:xfrm>
          <a:off x="6342548" y="1837224"/>
          <a:ext cx="944077" cy="18207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pt-BR" sz="900" b="1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11</xdr:col>
      <xdr:colOff>29303</xdr:colOff>
      <xdr:row>10</xdr:row>
      <xdr:rowOff>35392</xdr:rowOff>
    </xdr:from>
    <xdr:to>
      <xdr:col>16</xdr:col>
      <xdr:colOff>295274</xdr:colOff>
      <xdr:row>18</xdr:row>
      <xdr:rowOff>59857</xdr:rowOff>
    </xdr:to>
    <xdr:graphicFrame macro="">
      <xdr:nvGraphicFramePr>
        <xdr:cNvPr id="25" name="Gráfico 24">
          <a:extLst>
            <a:ext uri="{FF2B5EF4-FFF2-40B4-BE49-F238E27FC236}">
              <a16:creationId xmlns:a16="http://schemas.microsoft.com/office/drawing/2014/main" id="{00000000-0008-0000-0200-00001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12</xdr:col>
      <xdr:colOff>209548</xdr:colOff>
      <xdr:row>8</xdr:row>
      <xdr:rowOff>28575</xdr:rowOff>
    </xdr:from>
    <xdr:to>
      <xdr:col>15</xdr:col>
      <xdr:colOff>191600</xdr:colOff>
      <xdr:row>9</xdr:row>
      <xdr:rowOff>58251</xdr:rowOff>
    </xdr:to>
    <xdr:sp macro="" textlink="">
      <xdr:nvSpPr>
        <xdr:cNvPr id="26" name="CaixaDeTexto 25">
          <a:extLst>
            <a:ext uri="{FF2B5EF4-FFF2-40B4-BE49-F238E27FC236}">
              <a16:creationId xmlns:a16="http://schemas.microsoft.com/office/drawing/2014/main" id="{00000000-0008-0000-0200-00001A000000}"/>
            </a:ext>
          </a:extLst>
        </xdr:cNvPr>
        <xdr:cNvSpPr txBox="1"/>
      </xdr:nvSpPr>
      <xdr:spPr>
        <a:xfrm>
          <a:off x="6915148" y="1323975"/>
          <a:ext cx="1810852" cy="1916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0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QUANTIDADE</a:t>
          </a:r>
          <a:r>
            <a:rPr lang="pt-BR" sz="1000" b="1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POR STATUS</a:t>
          </a:r>
          <a:endParaRPr lang="pt-BR" sz="1000" b="1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16</xdr:col>
      <xdr:colOff>285750</xdr:colOff>
      <xdr:row>8</xdr:row>
      <xdr:rowOff>38100</xdr:rowOff>
    </xdr:from>
    <xdr:to>
      <xdr:col>18</xdr:col>
      <xdr:colOff>333376</xdr:colOff>
      <xdr:row>9</xdr:row>
      <xdr:rowOff>48725</xdr:rowOff>
    </xdr:to>
    <xdr:sp macro="" textlink="">
      <xdr:nvSpPr>
        <xdr:cNvPr id="27" name="CaixaDeTexto 26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SpPr txBox="1"/>
      </xdr:nvSpPr>
      <xdr:spPr>
        <a:xfrm>
          <a:off x="9429750" y="1333500"/>
          <a:ext cx="1266826" cy="172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000" b="1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TOTAL REQUISIÇÕES</a:t>
          </a:r>
          <a:endParaRPr lang="pt-BR" sz="1000" b="1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3</xdr:col>
      <xdr:colOff>361949</xdr:colOff>
      <xdr:row>29</xdr:row>
      <xdr:rowOff>152399</xdr:rowOff>
    </xdr:from>
    <xdr:to>
      <xdr:col>8</xdr:col>
      <xdr:colOff>257174</xdr:colOff>
      <xdr:row>31</xdr:row>
      <xdr:rowOff>66675</xdr:rowOff>
    </xdr:to>
    <xdr:sp macro="" textlink="">
      <xdr:nvSpPr>
        <xdr:cNvPr id="30" name="CaixaDeTexto 29">
          <a:extLst>
            <a:ext uri="{FF2B5EF4-FFF2-40B4-BE49-F238E27FC236}">
              <a16:creationId xmlns:a16="http://schemas.microsoft.com/office/drawing/2014/main" id="{00000000-0008-0000-0200-00001E000000}"/>
            </a:ext>
          </a:extLst>
        </xdr:cNvPr>
        <xdr:cNvSpPr txBox="1"/>
      </xdr:nvSpPr>
      <xdr:spPr>
        <a:xfrm>
          <a:off x="1581149" y="4848224"/>
          <a:ext cx="2943225" cy="2381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000" b="1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Calibri" panose="020F0502020204030204" pitchFamily="34" charset="0"/>
              <a:ea typeface="+mn-ea"/>
              <a:cs typeface="Calibri" panose="020F0502020204030204" pitchFamily="34" charset="0"/>
            </a:rPr>
            <a:t>RC RECEBIDAS - ATENDIDAS</a:t>
          </a:r>
          <a:r>
            <a:rPr lang="pt-BR" sz="1000" b="1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Calibri" panose="020F0502020204030204" pitchFamily="34" charset="0"/>
              <a:ea typeface="+mn-ea"/>
              <a:cs typeface="Calibri" panose="020F0502020204030204" pitchFamily="34" charset="0"/>
            </a:rPr>
            <a:t> X NÃO ATENDIDAS</a:t>
          </a:r>
          <a:endParaRPr lang="pt-BR" sz="800">
            <a:effectLst/>
            <a:latin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209550</xdr:colOff>
      <xdr:row>14</xdr:row>
      <xdr:rowOff>157163</xdr:rowOff>
    </xdr:from>
    <xdr:to>
      <xdr:col>10</xdr:col>
      <xdr:colOff>133350</xdr:colOff>
      <xdr:row>16</xdr:row>
      <xdr:rowOff>80963</xdr:rowOff>
    </xdr:to>
    <xdr:sp macro="" textlink="">
      <xdr:nvSpPr>
        <xdr:cNvPr id="32" name="CaixaDeTexto 31">
          <a:extLs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SpPr txBox="1"/>
      </xdr:nvSpPr>
      <xdr:spPr>
        <a:xfrm>
          <a:off x="4476750" y="2424113"/>
          <a:ext cx="1143000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000" b="1" cap="none" spc="0">
              <a:ln w="0"/>
              <a:solidFill>
                <a:schemeClr val="tx1">
                  <a:lumMod val="65000"/>
                  <a:lumOff val="3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OUTROS</a:t>
          </a:r>
        </a:p>
      </xdr:txBody>
    </xdr:sp>
    <xdr:clientData/>
  </xdr:twoCellAnchor>
  <xdr:twoCellAnchor editAs="oneCell">
    <xdr:from>
      <xdr:col>3</xdr:col>
      <xdr:colOff>204008</xdr:colOff>
      <xdr:row>10</xdr:row>
      <xdr:rowOff>89708</xdr:rowOff>
    </xdr:from>
    <xdr:to>
      <xdr:col>4</xdr:col>
      <xdr:colOff>15066</xdr:colOff>
      <xdr:row>13</xdr:row>
      <xdr:rowOff>24591</xdr:rowOff>
    </xdr:to>
    <xdr:pic>
      <xdr:nvPicPr>
        <xdr:cNvPr id="33" name="Gráfico 32">
          <a:extLst>
            <a:ext uri="{FF2B5EF4-FFF2-40B4-BE49-F238E27FC236}">
              <a16:creationId xmlns:a16="http://schemas.microsoft.com/office/drawing/2014/main" id="{00000000-0008-0000-02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1423208" y="1708958"/>
          <a:ext cx="420658" cy="420658"/>
        </a:xfrm>
        <a:prstGeom prst="rect">
          <a:avLst/>
        </a:prstGeom>
      </xdr:spPr>
    </xdr:pic>
    <xdr:clientData/>
  </xdr:twoCellAnchor>
  <xdr:twoCellAnchor editAs="oneCell">
    <xdr:from>
      <xdr:col>3</xdr:col>
      <xdr:colOff>214505</xdr:colOff>
      <xdr:row>14</xdr:row>
      <xdr:rowOff>109730</xdr:rowOff>
    </xdr:from>
    <xdr:to>
      <xdr:col>4</xdr:col>
      <xdr:colOff>14095</xdr:colOff>
      <xdr:row>17</xdr:row>
      <xdr:rowOff>33145</xdr:rowOff>
    </xdr:to>
    <xdr:pic>
      <xdr:nvPicPr>
        <xdr:cNvPr id="34" name="Gráfico 33">
          <a:extLst>
            <a:ext uri="{FF2B5EF4-FFF2-40B4-BE49-F238E27FC236}">
              <a16:creationId xmlns:a16="http://schemas.microsoft.com/office/drawing/2014/main" id="{00000000-0008-0000-02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>
          <a:off x="1433705" y="2376680"/>
          <a:ext cx="409190" cy="409190"/>
        </a:xfrm>
        <a:prstGeom prst="rect">
          <a:avLst/>
        </a:prstGeom>
      </xdr:spPr>
    </xdr:pic>
    <xdr:clientData/>
  </xdr:twoCellAnchor>
  <xdr:twoCellAnchor editAs="oneCell">
    <xdr:from>
      <xdr:col>7</xdr:col>
      <xdr:colOff>320079</xdr:colOff>
      <xdr:row>10</xdr:row>
      <xdr:rowOff>91479</xdr:rowOff>
    </xdr:from>
    <xdr:to>
      <xdr:col>8</xdr:col>
      <xdr:colOff>118071</xdr:colOff>
      <xdr:row>13</xdr:row>
      <xdr:rowOff>13296</xdr:rowOff>
    </xdr:to>
    <xdr:pic>
      <xdr:nvPicPr>
        <xdr:cNvPr id="35" name="Gráfico 34">
          <a:extLst>
            <a:ext uri="{FF2B5EF4-FFF2-40B4-BE49-F238E27FC236}">
              <a16:creationId xmlns:a16="http://schemas.microsoft.com/office/drawing/2014/main" id="{00000000-0008-0000-02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3"/>
            </a:ext>
          </a:extLst>
        </a:blip>
        <a:stretch>
          <a:fillRect/>
        </a:stretch>
      </xdr:blipFill>
      <xdr:spPr>
        <a:xfrm>
          <a:off x="3977679" y="1710729"/>
          <a:ext cx="407592" cy="407592"/>
        </a:xfrm>
        <a:prstGeom prst="rect">
          <a:avLst/>
        </a:prstGeom>
      </xdr:spPr>
    </xdr:pic>
    <xdr:clientData/>
  </xdr:twoCellAnchor>
  <xdr:twoCellAnchor>
    <xdr:from>
      <xdr:col>7</xdr:col>
      <xdr:colOff>309536</xdr:colOff>
      <xdr:row>14</xdr:row>
      <xdr:rowOff>147380</xdr:rowOff>
    </xdr:from>
    <xdr:to>
      <xdr:col>8</xdr:col>
      <xdr:colOff>71487</xdr:colOff>
      <xdr:row>17</xdr:row>
      <xdr:rowOff>33619</xdr:rowOff>
    </xdr:to>
    <xdr:grpSp>
      <xdr:nvGrpSpPr>
        <xdr:cNvPr id="36" name="Gráfico 48">
          <a:extLst>
            <a:ext uri="{FF2B5EF4-FFF2-40B4-BE49-F238E27FC236}">
              <a16:creationId xmlns:a16="http://schemas.microsoft.com/office/drawing/2014/main" id="{00000000-0008-0000-0200-000024000000}"/>
            </a:ext>
          </a:extLst>
        </xdr:cNvPr>
        <xdr:cNvGrpSpPr/>
      </xdr:nvGrpSpPr>
      <xdr:grpSpPr>
        <a:xfrm>
          <a:off x="3967136" y="2414330"/>
          <a:ext cx="371551" cy="372014"/>
          <a:chOff x="3967136" y="2290505"/>
          <a:chExt cx="371551" cy="372014"/>
        </a:xfrm>
      </xdr:grpSpPr>
      <xdr:sp macro="" textlink="">
        <xdr:nvSpPr>
          <xdr:cNvPr id="37" name="Forma Livre: Forma 36">
            <a:extLst>
              <a:ext uri="{FF2B5EF4-FFF2-40B4-BE49-F238E27FC236}">
                <a16:creationId xmlns:a16="http://schemas.microsoft.com/office/drawing/2014/main" id="{00000000-0008-0000-0200-000025000000}"/>
              </a:ext>
            </a:extLst>
          </xdr:cNvPr>
          <xdr:cNvSpPr/>
        </xdr:nvSpPr>
        <xdr:spPr>
          <a:xfrm>
            <a:off x="4101331" y="2290505"/>
            <a:ext cx="237357" cy="332715"/>
          </a:xfrm>
          <a:custGeom>
            <a:avLst/>
            <a:gdLst>
              <a:gd name="connsiteX0" fmla="*/ 221649 w 237357"/>
              <a:gd name="connsiteY0" fmla="*/ 0 h 332715"/>
              <a:gd name="connsiteX1" fmla="*/ 13875 w 237357"/>
              <a:gd name="connsiteY1" fmla="*/ 0 h 332715"/>
              <a:gd name="connsiteX2" fmla="*/ 13906 w 237357"/>
              <a:gd name="connsiteY2" fmla="*/ 111 h 332715"/>
              <a:gd name="connsiteX3" fmla="*/ 0 w 237357"/>
              <a:gd name="connsiteY3" fmla="*/ 15709 h 332715"/>
              <a:gd name="connsiteX4" fmla="*/ 0 w 237357"/>
              <a:gd name="connsiteY4" fmla="*/ 317007 h 332715"/>
              <a:gd name="connsiteX5" fmla="*/ 15709 w 237357"/>
              <a:gd name="connsiteY5" fmla="*/ 332715 h 332715"/>
              <a:gd name="connsiteX6" fmla="*/ 223482 w 237357"/>
              <a:gd name="connsiteY6" fmla="*/ 332715 h 332715"/>
              <a:gd name="connsiteX7" fmla="*/ 223451 w 237357"/>
              <a:gd name="connsiteY7" fmla="*/ 332604 h 332715"/>
              <a:gd name="connsiteX8" fmla="*/ 237357 w 237357"/>
              <a:gd name="connsiteY8" fmla="*/ 317007 h 332715"/>
              <a:gd name="connsiteX9" fmla="*/ 237357 w 237357"/>
              <a:gd name="connsiteY9" fmla="*/ 15709 h 332715"/>
              <a:gd name="connsiteX10" fmla="*/ 221649 w 237357"/>
              <a:gd name="connsiteY10" fmla="*/ 0 h 33271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</a:cxnLst>
            <a:rect l="l" t="t" r="r" b="b"/>
            <a:pathLst>
              <a:path w="237357" h="332715">
                <a:moveTo>
                  <a:pt x="221649" y="0"/>
                </a:moveTo>
                <a:lnTo>
                  <a:pt x="13875" y="0"/>
                </a:lnTo>
                <a:lnTo>
                  <a:pt x="13906" y="111"/>
                </a:lnTo>
                <a:cubicBezTo>
                  <a:pt x="6080" y="1006"/>
                  <a:pt x="0" y="7644"/>
                  <a:pt x="0" y="15709"/>
                </a:cubicBezTo>
                <a:lnTo>
                  <a:pt x="0" y="317007"/>
                </a:lnTo>
                <a:cubicBezTo>
                  <a:pt x="0" y="325682"/>
                  <a:pt x="7033" y="332715"/>
                  <a:pt x="15709" y="332715"/>
                </a:cubicBezTo>
                <a:lnTo>
                  <a:pt x="223482" y="332715"/>
                </a:lnTo>
                <a:lnTo>
                  <a:pt x="223451" y="332604"/>
                </a:lnTo>
                <a:cubicBezTo>
                  <a:pt x="231277" y="331709"/>
                  <a:pt x="237357" y="325072"/>
                  <a:pt x="237357" y="317007"/>
                </a:cubicBezTo>
                <a:lnTo>
                  <a:pt x="237357" y="15709"/>
                </a:lnTo>
                <a:cubicBezTo>
                  <a:pt x="237357" y="7033"/>
                  <a:pt x="230324" y="0"/>
                  <a:pt x="221649" y="0"/>
                </a:cubicBezTo>
                <a:close/>
              </a:path>
            </a:pathLst>
          </a:custGeom>
          <a:solidFill>
            <a:srgbClr val="9A0000"/>
          </a:solidFill>
          <a:ln w="726" cap="flat">
            <a:noFill/>
            <a:prstDash val="solid"/>
            <a:miter/>
          </a:ln>
        </xdr:spPr>
        <xdr:txBody>
          <a:bodyPr rtlCol="0" anchor="ctr"/>
          <a:lstStyle/>
          <a:p>
            <a:endParaRPr lang="pt-BR"/>
          </a:p>
        </xdr:txBody>
      </xdr:sp>
      <xdr:sp macro="" textlink="">
        <xdr:nvSpPr>
          <xdr:cNvPr id="38" name="Forma Livre: Forma 37">
            <a:extLst>
              <a:ext uri="{FF2B5EF4-FFF2-40B4-BE49-F238E27FC236}">
                <a16:creationId xmlns:a16="http://schemas.microsoft.com/office/drawing/2014/main" id="{00000000-0008-0000-0200-000026000000}"/>
              </a:ext>
            </a:extLst>
          </xdr:cNvPr>
          <xdr:cNvSpPr/>
        </xdr:nvSpPr>
        <xdr:spPr>
          <a:xfrm>
            <a:off x="3967136" y="2331931"/>
            <a:ext cx="240783" cy="330588"/>
          </a:xfrm>
          <a:custGeom>
            <a:avLst/>
            <a:gdLst>
              <a:gd name="connsiteX0" fmla="*/ 67458 w 240783"/>
              <a:gd name="connsiteY0" fmla="*/ 0 h 330588"/>
              <a:gd name="connsiteX1" fmla="*/ 15162 w 240783"/>
              <a:gd name="connsiteY1" fmla="*/ 0 h 330588"/>
              <a:gd name="connsiteX2" fmla="*/ 0 w 240783"/>
              <a:gd name="connsiteY2" fmla="*/ 15162 h 330588"/>
              <a:gd name="connsiteX3" fmla="*/ 0 w 240783"/>
              <a:gd name="connsiteY3" fmla="*/ 315427 h 330588"/>
              <a:gd name="connsiteX4" fmla="*/ 15162 w 240783"/>
              <a:gd name="connsiteY4" fmla="*/ 330589 h 330588"/>
              <a:gd name="connsiteX5" fmla="*/ 225622 w 240783"/>
              <a:gd name="connsiteY5" fmla="*/ 330589 h 330588"/>
              <a:gd name="connsiteX6" fmla="*/ 240784 w 240783"/>
              <a:gd name="connsiteY6" fmla="*/ 315427 h 330588"/>
              <a:gd name="connsiteX7" fmla="*/ 240784 w 240783"/>
              <a:gd name="connsiteY7" fmla="*/ 15162 h 330588"/>
              <a:gd name="connsiteX8" fmla="*/ 225622 w 240783"/>
              <a:gd name="connsiteY8" fmla="*/ 0 h 330588"/>
              <a:gd name="connsiteX9" fmla="*/ 173303 w 240783"/>
              <a:gd name="connsiteY9" fmla="*/ 0 h 330588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</a:cxnLst>
            <a:rect l="l" t="t" r="r" b="b"/>
            <a:pathLst>
              <a:path w="240783" h="330588">
                <a:moveTo>
                  <a:pt x="67458" y="0"/>
                </a:moveTo>
                <a:lnTo>
                  <a:pt x="15162" y="0"/>
                </a:lnTo>
                <a:cubicBezTo>
                  <a:pt x="6788" y="0"/>
                  <a:pt x="0" y="6788"/>
                  <a:pt x="0" y="15162"/>
                </a:cubicBezTo>
                <a:lnTo>
                  <a:pt x="0" y="315427"/>
                </a:lnTo>
                <a:cubicBezTo>
                  <a:pt x="0" y="323801"/>
                  <a:pt x="6788" y="330589"/>
                  <a:pt x="15162" y="330589"/>
                </a:cubicBezTo>
                <a:lnTo>
                  <a:pt x="225622" y="330589"/>
                </a:lnTo>
                <a:cubicBezTo>
                  <a:pt x="233995" y="330589"/>
                  <a:pt x="240784" y="323801"/>
                  <a:pt x="240784" y="315427"/>
                </a:cubicBezTo>
                <a:lnTo>
                  <a:pt x="240784" y="15162"/>
                </a:lnTo>
                <a:cubicBezTo>
                  <a:pt x="240784" y="6788"/>
                  <a:pt x="233995" y="0"/>
                  <a:pt x="225622" y="0"/>
                </a:cubicBezTo>
                <a:lnTo>
                  <a:pt x="173303" y="0"/>
                </a:lnTo>
              </a:path>
            </a:pathLst>
          </a:custGeom>
          <a:solidFill>
            <a:srgbClr val="F4F1F1"/>
          </a:solidFill>
          <a:ln w="726" cap="flat">
            <a:noFill/>
            <a:prstDash val="solid"/>
            <a:miter/>
          </a:ln>
        </xdr:spPr>
        <xdr:txBody>
          <a:bodyPr rtlCol="0" anchor="ctr"/>
          <a:lstStyle/>
          <a:p>
            <a:endParaRPr lang="pt-BR"/>
          </a:p>
        </xdr:txBody>
      </xdr:sp>
      <xdr:sp macro="" textlink="">
        <xdr:nvSpPr>
          <xdr:cNvPr id="39" name="Forma Livre: Forma 38">
            <a:extLst>
              <a:ext uri="{FF2B5EF4-FFF2-40B4-BE49-F238E27FC236}">
                <a16:creationId xmlns:a16="http://schemas.microsoft.com/office/drawing/2014/main" id="{00000000-0008-0000-0200-000027000000}"/>
              </a:ext>
            </a:extLst>
          </xdr:cNvPr>
          <xdr:cNvSpPr/>
        </xdr:nvSpPr>
        <xdr:spPr>
          <a:xfrm>
            <a:off x="4001744" y="2379076"/>
            <a:ext cx="66492" cy="56203"/>
          </a:xfrm>
          <a:custGeom>
            <a:avLst/>
            <a:gdLst>
              <a:gd name="connsiteX0" fmla="*/ 25966 w 66492"/>
              <a:gd name="connsiteY0" fmla="*/ 56204 h 56203"/>
              <a:gd name="connsiteX1" fmla="*/ 18208 w 66492"/>
              <a:gd name="connsiteY1" fmla="*/ 53216 h 56203"/>
              <a:gd name="connsiteX2" fmla="*/ 3805 w 66492"/>
              <a:gd name="connsiteY2" fmla="*/ 40184 h 56203"/>
              <a:gd name="connsiteX3" fmla="*/ 2989 w 66492"/>
              <a:gd name="connsiteY3" fmla="*/ 23852 h 56203"/>
              <a:gd name="connsiteX4" fmla="*/ 19321 w 66492"/>
              <a:gd name="connsiteY4" fmla="*/ 23036 h 56203"/>
              <a:gd name="connsiteX5" fmla="*/ 25009 w 66492"/>
              <a:gd name="connsiteY5" fmla="*/ 28182 h 56203"/>
              <a:gd name="connsiteX6" fmla="*/ 46230 w 66492"/>
              <a:gd name="connsiteY6" fmla="*/ 3946 h 56203"/>
              <a:gd name="connsiteX7" fmla="*/ 62547 w 66492"/>
              <a:gd name="connsiteY7" fmla="*/ 2864 h 56203"/>
              <a:gd name="connsiteX8" fmla="*/ 63628 w 66492"/>
              <a:gd name="connsiteY8" fmla="*/ 19180 h 56203"/>
              <a:gd name="connsiteX9" fmla="*/ 34665 w 66492"/>
              <a:gd name="connsiteY9" fmla="*/ 52258 h 56203"/>
              <a:gd name="connsiteX10" fmla="*/ 25966 w 66492"/>
              <a:gd name="connsiteY10" fmla="*/ 56204 h 56203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</a:cxnLst>
            <a:rect l="l" t="t" r="r" b="b"/>
            <a:pathLst>
              <a:path w="66492" h="56203">
                <a:moveTo>
                  <a:pt x="25966" y="56204"/>
                </a:moveTo>
                <a:cubicBezTo>
                  <a:pt x="23107" y="56204"/>
                  <a:pt x="20340" y="55144"/>
                  <a:pt x="18208" y="53216"/>
                </a:cubicBezTo>
                <a:lnTo>
                  <a:pt x="3805" y="40184"/>
                </a:lnTo>
                <a:cubicBezTo>
                  <a:pt x="-930" y="35900"/>
                  <a:pt x="-1296" y="28588"/>
                  <a:pt x="2989" y="23852"/>
                </a:cubicBezTo>
                <a:cubicBezTo>
                  <a:pt x="7274" y="19116"/>
                  <a:pt x="14585" y="18752"/>
                  <a:pt x="19321" y="23036"/>
                </a:cubicBezTo>
                <a:lnTo>
                  <a:pt x="25009" y="28182"/>
                </a:lnTo>
                <a:lnTo>
                  <a:pt x="46230" y="3946"/>
                </a:lnTo>
                <a:cubicBezTo>
                  <a:pt x="50437" y="-859"/>
                  <a:pt x="57743" y="-1343"/>
                  <a:pt x="62547" y="2864"/>
                </a:cubicBezTo>
                <a:cubicBezTo>
                  <a:pt x="67351" y="7071"/>
                  <a:pt x="67836" y="14375"/>
                  <a:pt x="63628" y="19180"/>
                </a:cubicBezTo>
                <a:lnTo>
                  <a:pt x="34665" y="52258"/>
                </a:lnTo>
                <a:cubicBezTo>
                  <a:pt x="33145" y="54005"/>
                  <a:pt x="29648" y="56194"/>
                  <a:pt x="25966" y="56204"/>
                </a:cubicBezTo>
                <a:close/>
              </a:path>
            </a:pathLst>
          </a:custGeom>
          <a:solidFill>
            <a:srgbClr val="BEE75E"/>
          </a:solidFill>
          <a:ln w="726" cap="flat">
            <a:noFill/>
            <a:prstDash val="solid"/>
            <a:miter/>
          </a:ln>
        </xdr:spPr>
        <xdr:txBody>
          <a:bodyPr rtlCol="0" anchor="ctr"/>
          <a:lstStyle/>
          <a:p>
            <a:endParaRPr lang="pt-BR"/>
          </a:p>
        </xdr:txBody>
      </xdr:sp>
      <xdr:sp macro="" textlink="">
        <xdr:nvSpPr>
          <xdr:cNvPr id="40" name="Forma Livre: Forma 39">
            <a:extLst>
              <a:ext uri="{FF2B5EF4-FFF2-40B4-BE49-F238E27FC236}">
                <a16:creationId xmlns:a16="http://schemas.microsoft.com/office/drawing/2014/main" id="{00000000-0008-0000-0200-000028000000}"/>
              </a:ext>
            </a:extLst>
          </xdr:cNvPr>
          <xdr:cNvSpPr/>
        </xdr:nvSpPr>
        <xdr:spPr>
          <a:xfrm>
            <a:off x="4001744" y="2521680"/>
            <a:ext cx="66492" cy="56204"/>
          </a:xfrm>
          <a:custGeom>
            <a:avLst/>
            <a:gdLst>
              <a:gd name="connsiteX0" fmla="*/ 25966 w 66492"/>
              <a:gd name="connsiteY0" fmla="*/ 56204 h 56204"/>
              <a:gd name="connsiteX1" fmla="*/ 18208 w 66492"/>
              <a:gd name="connsiteY1" fmla="*/ 53216 h 56204"/>
              <a:gd name="connsiteX2" fmla="*/ 3805 w 66492"/>
              <a:gd name="connsiteY2" fmla="*/ 40184 h 56204"/>
              <a:gd name="connsiteX3" fmla="*/ 2989 w 66492"/>
              <a:gd name="connsiteY3" fmla="*/ 23852 h 56204"/>
              <a:gd name="connsiteX4" fmla="*/ 19321 w 66492"/>
              <a:gd name="connsiteY4" fmla="*/ 23036 h 56204"/>
              <a:gd name="connsiteX5" fmla="*/ 25009 w 66492"/>
              <a:gd name="connsiteY5" fmla="*/ 28182 h 56204"/>
              <a:gd name="connsiteX6" fmla="*/ 46230 w 66492"/>
              <a:gd name="connsiteY6" fmla="*/ 3946 h 56204"/>
              <a:gd name="connsiteX7" fmla="*/ 62547 w 66492"/>
              <a:gd name="connsiteY7" fmla="*/ 2864 h 56204"/>
              <a:gd name="connsiteX8" fmla="*/ 63628 w 66492"/>
              <a:gd name="connsiteY8" fmla="*/ 19180 h 56204"/>
              <a:gd name="connsiteX9" fmla="*/ 34665 w 66492"/>
              <a:gd name="connsiteY9" fmla="*/ 52258 h 56204"/>
              <a:gd name="connsiteX10" fmla="*/ 25966 w 66492"/>
              <a:gd name="connsiteY10" fmla="*/ 56204 h 56204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</a:cxnLst>
            <a:rect l="l" t="t" r="r" b="b"/>
            <a:pathLst>
              <a:path w="66492" h="56204">
                <a:moveTo>
                  <a:pt x="25966" y="56204"/>
                </a:moveTo>
                <a:cubicBezTo>
                  <a:pt x="23107" y="56204"/>
                  <a:pt x="20340" y="55144"/>
                  <a:pt x="18208" y="53216"/>
                </a:cubicBezTo>
                <a:lnTo>
                  <a:pt x="3805" y="40184"/>
                </a:lnTo>
                <a:cubicBezTo>
                  <a:pt x="-930" y="35900"/>
                  <a:pt x="-1296" y="28588"/>
                  <a:pt x="2989" y="23852"/>
                </a:cubicBezTo>
                <a:cubicBezTo>
                  <a:pt x="7273" y="19117"/>
                  <a:pt x="14585" y="18751"/>
                  <a:pt x="19321" y="23036"/>
                </a:cubicBezTo>
                <a:lnTo>
                  <a:pt x="25009" y="28182"/>
                </a:lnTo>
                <a:lnTo>
                  <a:pt x="46230" y="3946"/>
                </a:lnTo>
                <a:cubicBezTo>
                  <a:pt x="50437" y="-859"/>
                  <a:pt x="57743" y="-1343"/>
                  <a:pt x="62547" y="2864"/>
                </a:cubicBezTo>
                <a:cubicBezTo>
                  <a:pt x="67351" y="7071"/>
                  <a:pt x="67836" y="14376"/>
                  <a:pt x="63628" y="19180"/>
                </a:cubicBezTo>
                <a:lnTo>
                  <a:pt x="34665" y="52258"/>
                </a:lnTo>
                <a:cubicBezTo>
                  <a:pt x="33145" y="54005"/>
                  <a:pt x="29648" y="56194"/>
                  <a:pt x="25966" y="56204"/>
                </a:cubicBezTo>
                <a:close/>
              </a:path>
            </a:pathLst>
          </a:custGeom>
          <a:solidFill>
            <a:srgbClr val="BEE75E"/>
          </a:solidFill>
          <a:ln w="726" cap="flat">
            <a:noFill/>
            <a:prstDash val="solid"/>
            <a:miter/>
          </a:ln>
        </xdr:spPr>
        <xdr:txBody>
          <a:bodyPr rtlCol="0" anchor="ctr"/>
          <a:lstStyle/>
          <a:p>
            <a:endParaRPr lang="pt-BR"/>
          </a:p>
        </xdr:txBody>
      </xdr:sp>
      <xdr:sp macro="" textlink="">
        <xdr:nvSpPr>
          <xdr:cNvPr id="41" name="Forma Livre: Forma 40">
            <a:extLst>
              <a:ext uri="{FF2B5EF4-FFF2-40B4-BE49-F238E27FC236}">
                <a16:creationId xmlns:a16="http://schemas.microsoft.com/office/drawing/2014/main" id="{00000000-0008-0000-0200-000029000000}"/>
              </a:ext>
            </a:extLst>
          </xdr:cNvPr>
          <xdr:cNvSpPr/>
        </xdr:nvSpPr>
        <xdr:spPr>
          <a:xfrm>
            <a:off x="4220009" y="2290505"/>
            <a:ext cx="118678" cy="332715"/>
          </a:xfrm>
          <a:custGeom>
            <a:avLst/>
            <a:gdLst>
              <a:gd name="connsiteX0" fmla="*/ 102784 w 118678"/>
              <a:gd name="connsiteY0" fmla="*/ 0 h 332715"/>
              <a:gd name="connsiteX1" fmla="*/ 0 w 118678"/>
              <a:gd name="connsiteY1" fmla="*/ 0 h 332715"/>
              <a:gd name="connsiteX2" fmla="*/ 0 w 118678"/>
              <a:gd name="connsiteY2" fmla="*/ 332715 h 332715"/>
              <a:gd name="connsiteX3" fmla="*/ 104639 w 118678"/>
              <a:gd name="connsiteY3" fmla="*/ 332715 h 332715"/>
              <a:gd name="connsiteX4" fmla="*/ 104608 w 118678"/>
              <a:gd name="connsiteY4" fmla="*/ 332604 h 332715"/>
              <a:gd name="connsiteX5" fmla="*/ 118679 w 118678"/>
              <a:gd name="connsiteY5" fmla="*/ 317007 h 332715"/>
              <a:gd name="connsiteX6" fmla="*/ 118679 w 118678"/>
              <a:gd name="connsiteY6" fmla="*/ 15709 h 332715"/>
              <a:gd name="connsiteX7" fmla="*/ 102784 w 118678"/>
              <a:gd name="connsiteY7" fmla="*/ 0 h 33271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</a:cxnLst>
            <a:rect l="l" t="t" r="r" b="b"/>
            <a:pathLst>
              <a:path w="118678" h="332715">
                <a:moveTo>
                  <a:pt x="102784" y="0"/>
                </a:moveTo>
                <a:lnTo>
                  <a:pt x="0" y="0"/>
                </a:lnTo>
                <a:lnTo>
                  <a:pt x="0" y="332715"/>
                </a:lnTo>
                <a:lnTo>
                  <a:pt x="104639" y="332715"/>
                </a:lnTo>
                <a:lnTo>
                  <a:pt x="104608" y="332604"/>
                </a:lnTo>
                <a:cubicBezTo>
                  <a:pt x="112527" y="331709"/>
                  <a:pt x="118679" y="325071"/>
                  <a:pt x="118679" y="317007"/>
                </a:cubicBezTo>
                <a:lnTo>
                  <a:pt x="118679" y="15709"/>
                </a:lnTo>
                <a:cubicBezTo>
                  <a:pt x="118679" y="7033"/>
                  <a:pt x="111562" y="0"/>
                  <a:pt x="102784" y="0"/>
                </a:cubicBezTo>
                <a:close/>
              </a:path>
            </a:pathLst>
          </a:custGeom>
          <a:solidFill>
            <a:srgbClr val="9A0000"/>
          </a:solidFill>
          <a:ln w="726" cap="flat">
            <a:noFill/>
            <a:prstDash val="solid"/>
            <a:miter/>
          </a:ln>
        </xdr:spPr>
        <xdr:txBody>
          <a:bodyPr rtlCol="0" anchor="ctr"/>
          <a:lstStyle/>
          <a:p>
            <a:endParaRPr lang="pt-BR"/>
          </a:p>
        </xdr:txBody>
      </xdr:sp>
      <xdr:sp macro="" textlink="">
        <xdr:nvSpPr>
          <xdr:cNvPr id="42" name="Forma Livre: Forma 41">
            <a:extLst>
              <a:ext uri="{FF2B5EF4-FFF2-40B4-BE49-F238E27FC236}">
                <a16:creationId xmlns:a16="http://schemas.microsoft.com/office/drawing/2014/main" id="{00000000-0008-0000-0200-00002A000000}"/>
              </a:ext>
            </a:extLst>
          </xdr:cNvPr>
          <xdr:cNvSpPr/>
        </xdr:nvSpPr>
        <xdr:spPr>
          <a:xfrm>
            <a:off x="4087528" y="2331931"/>
            <a:ext cx="120391" cy="330588"/>
          </a:xfrm>
          <a:custGeom>
            <a:avLst/>
            <a:gdLst>
              <a:gd name="connsiteX0" fmla="*/ 105230 w 120391"/>
              <a:gd name="connsiteY0" fmla="*/ 0 h 330588"/>
              <a:gd name="connsiteX1" fmla="*/ 0 w 120391"/>
              <a:gd name="connsiteY1" fmla="*/ 0 h 330588"/>
              <a:gd name="connsiteX2" fmla="*/ 0 w 120391"/>
              <a:gd name="connsiteY2" fmla="*/ 330589 h 330588"/>
              <a:gd name="connsiteX3" fmla="*/ 105230 w 120391"/>
              <a:gd name="connsiteY3" fmla="*/ 330589 h 330588"/>
              <a:gd name="connsiteX4" fmla="*/ 120391 w 120391"/>
              <a:gd name="connsiteY4" fmla="*/ 315427 h 330588"/>
              <a:gd name="connsiteX5" fmla="*/ 120391 w 120391"/>
              <a:gd name="connsiteY5" fmla="*/ 15162 h 330588"/>
              <a:gd name="connsiteX6" fmla="*/ 105230 w 120391"/>
              <a:gd name="connsiteY6" fmla="*/ 0 h 330588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</a:cxnLst>
            <a:rect l="l" t="t" r="r" b="b"/>
            <a:pathLst>
              <a:path w="120391" h="330588">
                <a:moveTo>
                  <a:pt x="105230" y="0"/>
                </a:moveTo>
                <a:lnTo>
                  <a:pt x="0" y="0"/>
                </a:lnTo>
                <a:lnTo>
                  <a:pt x="0" y="330589"/>
                </a:lnTo>
                <a:lnTo>
                  <a:pt x="105230" y="330589"/>
                </a:lnTo>
                <a:cubicBezTo>
                  <a:pt x="113603" y="330589"/>
                  <a:pt x="120391" y="323801"/>
                  <a:pt x="120391" y="315427"/>
                </a:cubicBezTo>
                <a:lnTo>
                  <a:pt x="120391" y="15162"/>
                </a:lnTo>
                <a:cubicBezTo>
                  <a:pt x="120391" y="6788"/>
                  <a:pt x="113603" y="0"/>
                  <a:pt x="105230" y="0"/>
                </a:cubicBezTo>
                <a:close/>
              </a:path>
            </a:pathLst>
          </a:custGeom>
          <a:solidFill>
            <a:srgbClr val="DAEAEC"/>
          </a:solidFill>
          <a:ln w="726" cap="flat">
            <a:noFill/>
            <a:prstDash val="solid"/>
            <a:miter/>
          </a:ln>
        </xdr:spPr>
        <xdr:txBody>
          <a:bodyPr rtlCol="0" anchor="ctr"/>
          <a:lstStyle/>
          <a:p>
            <a:endParaRPr lang="pt-BR"/>
          </a:p>
        </xdr:txBody>
      </xdr:sp>
      <xdr:sp macro="" textlink="">
        <xdr:nvSpPr>
          <xdr:cNvPr id="43" name="Forma Livre: Forma 42">
            <a:extLst>
              <a:ext uri="{FF2B5EF4-FFF2-40B4-BE49-F238E27FC236}">
                <a16:creationId xmlns:a16="http://schemas.microsoft.com/office/drawing/2014/main" id="{00000000-0008-0000-0200-00002B000000}"/>
              </a:ext>
            </a:extLst>
          </xdr:cNvPr>
          <xdr:cNvSpPr/>
        </xdr:nvSpPr>
        <xdr:spPr>
          <a:xfrm>
            <a:off x="4034581" y="2290988"/>
            <a:ext cx="105894" cy="61403"/>
          </a:xfrm>
          <a:custGeom>
            <a:avLst/>
            <a:gdLst>
              <a:gd name="connsiteX0" fmla="*/ 79008 w 105894"/>
              <a:gd name="connsiteY0" fmla="*/ 25542 h 61403"/>
              <a:gd name="connsiteX1" fmla="*/ 52947 w 105894"/>
              <a:gd name="connsiteY1" fmla="*/ 0 h 61403"/>
              <a:gd name="connsiteX2" fmla="*/ 26886 w 105894"/>
              <a:gd name="connsiteY2" fmla="*/ 25542 h 61403"/>
              <a:gd name="connsiteX3" fmla="*/ 4938 w 105894"/>
              <a:gd name="connsiteY3" fmla="*/ 25542 h 61403"/>
              <a:gd name="connsiteX4" fmla="*/ 0 w 105894"/>
              <a:gd name="connsiteY4" fmla="*/ 30480 h 61403"/>
              <a:gd name="connsiteX5" fmla="*/ 0 w 105894"/>
              <a:gd name="connsiteY5" fmla="*/ 54962 h 61403"/>
              <a:gd name="connsiteX6" fmla="*/ 6441 w 105894"/>
              <a:gd name="connsiteY6" fmla="*/ 61403 h 61403"/>
              <a:gd name="connsiteX7" fmla="*/ 99454 w 105894"/>
              <a:gd name="connsiteY7" fmla="*/ 61403 h 61403"/>
              <a:gd name="connsiteX8" fmla="*/ 105895 w 105894"/>
              <a:gd name="connsiteY8" fmla="*/ 54962 h 61403"/>
              <a:gd name="connsiteX9" fmla="*/ 105895 w 105894"/>
              <a:gd name="connsiteY9" fmla="*/ 30625 h 61403"/>
              <a:gd name="connsiteX10" fmla="*/ 100812 w 105894"/>
              <a:gd name="connsiteY10" fmla="*/ 25542 h 61403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</a:cxnLst>
            <a:rect l="l" t="t" r="r" b="b"/>
            <a:pathLst>
              <a:path w="105894" h="61403">
                <a:moveTo>
                  <a:pt x="79008" y="25542"/>
                </a:moveTo>
                <a:cubicBezTo>
                  <a:pt x="78723" y="11389"/>
                  <a:pt x="67169" y="0"/>
                  <a:pt x="52947" y="0"/>
                </a:cubicBezTo>
                <a:cubicBezTo>
                  <a:pt x="38725" y="0"/>
                  <a:pt x="27171" y="11389"/>
                  <a:pt x="26886" y="25542"/>
                </a:cubicBezTo>
                <a:lnTo>
                  <a:pt x="4938" y="25542"/>
                </a:lnTo>
                <a:cubicBezTo>
                  <a:pt x="2210" y="25542"/>
                  <a:pt x="0" y="27753"/>
                  <a:pt x="0" y="30480"/>
                </a:cubicBezTo>
                <a:lnTo>
                  <a:pt x="0" y="54962"/>
                </a:lnTo>
                <a:cubicBezTo>
                  <a:pt x="0" y="58520"/>
                  <a:pt x="2884" y="61403"/>
                  <a:pt x="6441" y="61403"/>
                </a:cubicBezTo>
                <a:lnTo>
                  <a:pt x="99454" y="61403"/>
                </a:lnTo>
                <a:cubicBezTo>
                  <a:pt x="103011" y="61403"/>
                  <a:pt x="105895" y="58520"/>
                  <a:pt x="105895" y="54962"/>
                </a:cubicBezTo>
                <a:lnTo>
                  <a:pt x="105895" y="30625"/>
                </a:lnTo>
                <a:cubicBezTo>
                  <a:pt x="105895" y="27818"/>
                  <a:pt x="103619" y="25542"/>
                  <a:pt x="100812" y="25542"/>
                </a:cubicBezTo>
                <a:close/>
              </a:path>
            </a:pathLst>
          </a:custGeom>
          <a:solidFill>
            <a:srgbClr val="FDBF00"/>
          </a:solidFill>
          <a:ln w="726" cap="flat">
            <a:noFill/>
            <a:prstDash val="solid"/>
            <a:miter/>
          </a:ln>
        </xdr:spPr>
        <xdr:txBody>
          <a:bodyPr rtlCol="0" anchor="ctr"/>
          <a:lstStyle/>
          <a:p>
            <a:endParaRPr lang="pt-BR"/>
          </a:p>
        </xdr:txBody>
      </xdr:sp>
      <xdr:sp macro="" textlink="">
        <xdr:nvSpPr>
          <xdr:cNvPr id="44" name="Forma Livre: Forma 43">
            <a:extLst>
              <a:ext uri="{FF2B5EF4-FFF2-40B4-BE49-F238E27FC236}">
                <a16:creationId xmlns:a16="http://schemas.microsoft.com/office/drawing/2014/main" id="{00000000-0008-0000-0200-00002C000000}"/>
              </a:ext>
            </a:extLst>
          </xdr:cNvPr>
          <xdr:cNvSpPr/>
        </xdr:nvSpPr>
        <xdr:spPr>
          <a:xfrm>
            <a:off x="4087528" y="2290988"/>
            <a:ext cx="52946" cy="61403"/>
          </a:xfrm>
          <a:custGeom>
            <a:avLst/>
            <a:gdLst>
              <a:gd name="connsiteX0" fmla="*/ 47864 w 52946"/>
              <a:gd name="connsiteY0" fmla="*/ 25542 h 61403"/>
              <a:gd name="connsiteX1" fmla="*/ 26061 w 52946"/>
              <a:gd name="connsiteY1" fmla="*/ 25542 h 61403"/>
              <a:gd name="connsiteX2" fmla="*/ 0 w 52946"/>
              <a:gd name="connsiteY2" fmla="*/ 0 h 61403"/>
              <a:gd name="connsiteX3" fmla="*/ 0 w 52946"/>
              <a:gd name="connsiteY3" fmla="*/ 61403 h 61403"/>
              <a:gd name="connsiteX4" fmla="*/ 46506 w 52946"/>
              <a:gd name="connsiteY4" fmla="*/ 61403 h 61403"/>
              <a:gd name="connsiteX5" fmla="*/ 52947 w 52946"/>
              <a:gd name="connsiteY5" fmla="*/ 54962 h 61403"/>
              <a:gd name="connsiteX6" fmla="*/ 52947 w 52946"/>
              <a:gd name="connsiteY6" fmla="*/ 30625 h 61403"/>
              <a:gd name="connsiteX7" fmla="*/ 47864 w 52946"/>
              <a:gd name="connsiteY7" fmla="*/ 25542 h 61403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</a:cxnLst>
            <a:rect l="l" t="t" r="r" b="b"/>
            <a:pathLst>
              <a:path w="52946" h="61403">
                <a:moveTo>
                  <a:pt x="47864" y="25542"/>
                </a:moveTo>
                <a:lnTo>
                  <a:pt x="26061" y="25542"/>
                </a:lnTo>
                <a:cubicBezTo>
                  <a:pt x="25776" y="11389"/>
                  <a:pt x="14222" y="0"/>
                  <a:pt x="0" y="0"/>
                </a:cubicBezTo>
                <a:lnTo>
                  <a:pt x="0" y="61403"/>
                </a:lnTo>
                <a:lnTo>
                  <a:pt x="46506" y="61403"/>
                </a:lnTo>
                <a:cubicBezTo>
                  <a:pt x="50063" y="61403"/>
                  <a:pt x="52947" y="58520"/>
                  <a:pt x="52947" y="54962"/>
                </a:cubicBezTo>
                <a:lnTo>
                  <a:pt x="52947" y="30625"/>
                </a:lnTo>
                <a:cubicBezTo>
                  <a:pt x="52947" y="27818"/>
                  <a:pt x="50671" y="25542"/>
                  <a:pt x="47864" y="25542"/>
                </a:cubicBezTo>
                <a:close/>
              </a:path>
            </a:pathLst>
          </a:custGeom>
          <a:solidFill>
            <a:srgbClr val="FF9100"/>
          </a:solidFill>
          <a:ln w="726" cap="flat">
            <a:noFill/>
            <a:prstDash val="solid"/>
            <a:miter/>
          </a:ln>
        </xdr:spPr>
        <xdr:txBody>
          <a:bodyPr rtlCol="0" anchor="ctr"/>
          <a:lstStyle/>
          <a:p>
            <a:endParaRPr lang="pt-BR"/>
          </a:p>
        </xdr:txBody>
      </xdr:sp>
      <xdr:sp macro="" textlink="">
        <xdr:nvSpPr>
          <xdr:cNvPr id="45" name="Forma Livre: Forma 44">
            <a:extLst>
              <a:ext uri="{FF2B5EF4-FFF2-40B4-BE49-F238E27FC236}">
                <a16:creationId xmlns:a16="http://schemas.microsoft.com/office/drawing/2014/main" id="{00000000-0008-0000-0200-00002D000000}"/>
              </a:ext>
            </a:extLst>
          </xdr:cNvPr>
          <xdr:cNvSpPr/>
        </xdr:nvSpPr>
        <xdr:spPr>
          <a:xfrm>
            <a:off x="4090039" y="2411997"/>
            <a:ext cx="83753" cy="23125"/>
          </a:xfrm>
          <a:custGeom>
            <a:avLst/>
            <a:gdLst>
              <a:gd name="connsiteX0" fmla="*/ 72190 w 83753"/>
              <a:gd name="connsiteY0" fmla="*/ 23126 h 23125"/>
              <a:gd name="connsiteX1" fmla="*/ 11563 w 83753"/>
              <a:gd name="connsiteY1" fmla="*/ 23126 h 23125"/>
              <a:gd name="connsiteX2" fmla="*/ 0 w 83753"/>
              <a:gd name="connsiteY2" fmla="*/ 11563 h 23125"/>
              <a:gd name="connsiteX3" fmla="*/ 11563 w 83753"/>
              <a:gd name="connsiteY3" fmla="*/ 0 h 23125"/>
              <a:gd name="connsiteX4" fmla="*/ 72190 w 83753"/>
              <a:gd name="connsiteY4" fmla="*/ 0 h 23125"/>
              <a:gd name="connsiteX5" fmla="*/ 83753 w 83753"/>
              <a:gd name="connsiteY5" fmla="*/ 11563 h 23125"/>
              <a:gd name="connsiteX6" fmla="*/ 72190 w 83753"/>
              <a:gd name="connsiteY6" fmla="*/ 23126 h 2312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</a:cxnLst>
            <a:rect l="l" t="t" r="r" b="b"/>
            <a:pathLst>
              <a:path w="83753" h="23125">
                <a:moveTo>
                  <a:pt x="72190" y="23126"/>
                </a:moveTo>
                <a:lnTo>
                  <a:pt x="11563" y="23126"/>
                </a:lnTo>
                <a:cubicBezTo>
                  <a:pt x="5177" y="23126"/>
                  <a:pt x="0" y="17949"/>
                  <a:pt x="0" y="11563"/>
                </a:cubicBezTo>
                <a:cubicBezTo>
                  <a:pt x="0" y="5177"/>
                  <a:pt x="5177" y="0"/>
                  <a:pt x="11563" y="0"/>
                </a:cubicBezTo>
                <a:lnTo>
                  <a:pt x="72190" y="0"/>
                </a:lnTo>
                <a:cubicBezTo>
                  <a:pt x="78576" y="0"/>
                  <a:pt x="83753" y="5177"/>
                  <a:pt x="83753" y="11563"/>
                </a:cubicBezTo>
                <a:cubicBezTo>
                  <a:pt x="83753" y="17949"/>
                  <a:pt x="78576" y="23126"/>
                  <a:pt x="72190" y="23126"/>
                </a:cubicBezTo>
                <a:close/>
              </a:path>
            </a:pathLst>
          </a:custGeom>
          <a:solidFill>
            <a:srgbClr val="292929"/>
          </a:solidFill>
          <a:ln w="726" cap="flat">
            <a:noFill/>
            <a:prstDash val="solid"/>
            <a:miter/>
          </a:ln>
        </xdr:spPr>
        <xdr:txBody>
          <a:bodyPr rtlCol="0" anchor="ctr"/>
          <a:lstStyle/>
          <a:p>
            <a:endParaRPr lang="pt-BR"/>
          </a:p>
        </xdr:txBody>
      </xdr:sp>
      <xdr:sp macro="" textlink="">
        <xdr:nvSpPr>
          <xdr:cNvPr id="46" name="Forma Livre: Forma 45">
            <a:extLst>
              <a:ext uri="{FF2B5EF4-FFF2-40B4-BE49-F238E27FC236}">
                <a16:creationId xmlns:a16="http://schemas.microsoft.com/office/drawing/2014/main" id="{00000000-0008-0000-0200-00002E000000}"/>
              </a:ext>
            </a:extLst>
          </xdr:cNvPr>
          <xdr:cNvSpPr/>
        </xdr:nvSpPr>
        <xdr:spPr>
          <a:xfrm>
            <a:off x="4000794" y="2461221"/>
            <a:ext cx="172998" cy="23125"/>
          </a:xfrm>
          <a:custGeom>
            <a:avLst/>
            <a:gdLst>
              <a:gd name="connsiteX0" fmla="*/ 161435 w 172998"/>
              <a:gd name="connsiteY0" fmla="*/ 23126 h 23125"/>
              <a:gd name="connsiteX1" fmla="*/ 11563 w 172998"/>
              <a:gd name="connsiteY1" fmla="*/ 23126 h 23125"/>
              <a:gd name="connsiteX2" fmla="*/ 0 w 172998"/>
              <a:gd name="connsiteY2" fmla="*/ 11563 h 23125"/>
              <a:gd name="connsiteX3" fmla="*/ 11563 w 172998"/>
              <a:gd name="connsiteY3" fmla="*/ 0 h 23125"/>
              <a:gd name="connsiteX4" fmla="*/ 161435 w 172998"/>
              <a:gd name="connsiteY4" fmla="*/ 0 h 23125"/>
              <a:gd name="connsiteX5" fmla="*/ 172998 w 172998"/>
              <a:gd name="connsiteY5" fmla="*/ 11563 h 23125"/>
              <a:gd name="connsiteX6" fmla="*/ 161435 w 172998"/>
              <a:gd name="connsiteY6" fmla="*/ 23126 h 2312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</a:cxnLst>
            <a:rect l="l" t="t" r="r" b="b"/>
            <a:pathLst>
              <a:path w="172998" h="23125">
                <a:moveTo>
                  <a:pt x="161435" y="23126"/>
                </a:moveTo>
                <a:lnTo>
                  <a:pt x="11563" y="23126"/>
                </a:lnTo>
                <a:cubicBezTo>
                  <a:pt x="5177" y="23126"/>
                  <a:pt x="0" y="17949"/>
                  <a:pt x="0" y="11563"/>
                </a:cubicBezTo>
                <a:cubicBezTo>
                  <a:pt x="0" y="5177"/>
                  <a:pt x="5177" y="0"/>
                  <a:pt x="11563" y="0"/>
                </a:cubicBezTo>
                <a:lnTo>
                  <a:pt x="161435" y="0"/>
                </a:lnTo>
                <a:cubicBezTo>
                  <a:pt x="167821" y="0"/>
                  <a:pt x="172998" y="5177"/>
                  <a:pt x="172998" y="11563"/>
                </a:cubicBezTo>
                <a:cubicBezTo>
                  <a:pt x="172998" y="17949"/>
                  <a:pt x="167821" y="23126"/>
                  <a:pt x="161435" y="23126"/>
                </a:cubicBezTo>
                <a:close/>
              </a:path>
            </a:pathLst>
          </a:custGeom>
          <a:solidFill>
            <a:srgbClr val="444444"/>
          </a:solidFill>
          <a:ln w="726" cap="flat">
            <a:noFill/>
            <a:prstDash val="solid"/>
            <a:miter/>
          </a:ln>
        </xdr:spPr>
        <xdr:txBody>
          <a:bodyPr rtlCol="0" anchor="ctr"/>
          <a:lstStyle/>
          <a:p>
            <a:endParaRPr lang="pt-BR"/>
          </a:p>
        </xdr:txBody>
      </xdr:sp>
      <xdr:sp macro="" textlink="">
        <xdr:nvSpPr>
          <xdr:cNvPr id="47" name="Forma Livre: Forma 46">
            <a:extLst>
              <a:ext uri="{FF2B5EF4-FFF2-40B4-BE49-F238E27FC236}">
                <a16:creationId xmlns:a16="http://schemas.microsoft.com/office/drawing/2014/main" id="{00000000-0008-0000-0200-00002F000000}"/>
              </a:ext>
            </a:extLst>
          </xdr:cNvPr>
          <xdr:cNvSpPr/>
        </xdr:nvSpPr>
        <xdr:spPr>
          <a:xfrm>
            <a:off x="4090039" y="2554262"/>
            <a:ext cx="83753" cy="23125"/>
          </a:xfrm>
          <a:custGeom>
            <a:avLst/>
            <a:gdLst>
              <a:gd name="connsiteX0" fmla="*/ 72190 w 83753"/>
              <a:gd name="connsiteY0" fmla="*/ 23126 h 23125"/>
              <a:gd name="connsiteX1" fmla="*/ 11563 w 83753"/>
              <a:gd name="connsiteY1" fmla="*/ 23126 h 23125"/>
              <a:gd name="connsiteX2" fmla="*/ 0 w 83753"/>
              <a:gd name="connsiteY2" fmla="*/ 11563 h 23125"/>
              <a:gd name="connsiteX3" fmla="*/ 11563 w 83753"/>
              <a:gd name="connsiteY3" fmla="*/ 0 h 23125"/>
              <a:gd name="connsiteX4" fmla="*/ 72190 w 83753"/>
              <a:gd name="connsiteY4" fmla="*/ 0 h 23125"/>
              <a:gd name="connsiteX5" fmla="*/ 83753 w 83753"/>
              <a:gd name="connsiteY5" fmla="*/ 11563 h 23125"/>
              <a:gd name="connsiteX6" fmla="*/ 72190 w 83753"/>
              <a:gd name="connsiteY6" fmla="*/ 23126 h 2312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</a:cxnLst>
            <a:rect l="l" t="t" r="r" b="b"/>
            <a:pathLst>
              <a:path w="83753" h="23125">
                <a:moveTo>
                  <a:pt x="72190" y="23126"/>
                </a:moveTo>
                <a:lnTo>
                  <a:pt x="11563" y="23126"/>
                </a:lnTo>
                <a:cubicBezTo>
                  <a:pt x="5177" y="23126"/>
                  <a:pt x="0" y="17949"/>
                  <a:pt x="0" y="11563"/>
                </a:cubicBezTo>
                <a:cubicBezTo>
                  <a:pt x="0" y="5177"/>
                  <a:pt x="5177" y="0"/>
                  <a:pt x="11563" y="0"/>
                </a:cubicBezTo>
                <a:lnTo>
                  <a:pt x="72190" y="0"/>
                </a:lnTo>
                <a:cubicBezTo>
                  <a:pt x="78576" y="0"/>
                  <a:pt x="83753" y="5177"/>
                  <a:pt x="83753" y="11563"/>
                </a:cubicBezTo>
                <a:cubicBezTo>
                  <a:pt x="83753" y="17949"/>
                  <a:pt x="78576" y="23126"/>
                  <a:pt x="72190" y="23126"/>
                </a:cubicBezTo>
                <a:close/>
              </a:path>
            </a:pathLst>
          </a:custGeom>
          <a:solidFill>
            <a:srgbClr val="292929"/>
          </a:solidFill>
          <a:ln w="726" cap="flat">
            <a:noFill/>
            <a:prstDash val="solid"/>
            <a:miter/>
          </a:ln>
        </xdr:spPr>
        <xdr:txBody>
          <a:bodyPr rtlCol="0" anchor="ctr"/>
          <a:lstStyle/>
          <a:p>
            <a:endParaRPr lang="pt-BR"/>
          </a:p>
        </xdr:txBody>
      </xdr:sp>
      <xdr:sp macro="" textlink="">
        <xdr:nvSpPr>
          <xdr:cNvPr id="48" name="Forma Livre: Forma 47">
            <a:extLst>
              <a:ext uri="{FF2B5EF4-FFF2-40B4-BE49-F238E27FC236}">
                <a16:creationId xmlns:a16="http://schemas.microsoft.com/office/drawing/2014/main" id="{00000000-0008-0000-0200-000030000000}"/>
              </a:ext>
            </a:extLst>
          </xdr:cNvPr>
          <xdr:cNvSpPr/>
        </xdr:nvSpPr>
        <xdr:spPr>
          <a:xfrm>
            <a:off x="4000794" y="2601524"/>
            <a:ext cx="172998" cy="23125"/>
          </a:xfrm>
          <a:custGeom>
            <a:avLst/>
            <a:gdLst>
              <a:gd name="connsiteX0" fmla="*/ 161435 w 172998"/>
              <a:gd name="connsiteY0" fmla="*/ 23126 h 23125"/>
              <a:gd name="connsiteX1" fmla="*/ 11563 w 172998"/>
              <a:gd name="connsiteY1" fmla="*/ 23126 h 23125"/>
              <a:gd name="connsiteX2" fmla="*/ 0 w 172998"/>
              <a:gd name="connsiteY2" fmla="*/ 11563 h 23125"/>
              <a:gd name="connsiteX3" fmla="*/ 11563 w 172998"/>
              <a:gd name="connsiteY3" fmla="*/ 0 h 23125"/>
              <a:gd name="connsiteX4" fmla="*/ 161435 w 172998"/>
              <a:gd name="connsiteY4" fmla="*/ 0 h 23125"/>
              <a:gd name="connsiteX5" fmla="*/ 172998 w 172998"/>
              <a:gd name="connsiteY5" fmla="*/ 11563 h 23125"/>
              <a:gd name="connsiteX6" fmla="*/ 161435 w 172998"/>
              <a:gd name="connsiteY6" fmla="*/ 23126 h 2312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</a:cxnLst>
            <a:rect l="l" t="t" r="r" b="b"/>
            <a:pathLst>
              <a:path w="172998" h="23125">
                <a:moveTo>
                  <a:pt x="161435" y="23126"/>
                </a:moveTo>
                <a:lnTo>
                  <a:pt x="11563" y="23126"/>
                </a:lnTo>
                <a:cubicBezTo>
                  <a:pt x="5177" y="23126"/>
                  <a:pt x="0" y="17949"/>
                  <a:pt x="0" y="11563"/>
                </a:cubicBezTo>
                <a:cubicBezTo>
                  <a:pt x="0" y="5177"/>
                  <a:pt x="5177" y="0"/>
                  <a:pt x="11563" y="0"/>
                </a:cubicBezTo>
                <a:lnTo>
                  <a:pt x="161435" y="0"/>
                </a:lnTo>
                <a:cubicBezTo>
                  <a:pt x="167821" y="0"/>
                  <a:pt x="172998" y="5177"/>
                  <a:pt x="172998" y="11563"/>
                </a:cubicBezTo>
                <a:cubicBezTo>
                  <a:pt x="172998" y="17949"/>
                  <a:pt x="167821" y="23126"/>
                  <a:pt x="161435" y="23126"/>
                </a:cubicBezTo>
                <a:close/>
              </a:path>
            </a:pathLst>
          </a:custGeom>
          <a:solidFill>
            <a:srgbClr val="444444"/>
          </a:solidFill>
          <a:ln w="726" cap="flat">
            <a:noFill/>
            <a:prstDash val="solid"/>
            <a:miter/>
          </a:ln>
        </xdr:spPr>
        <xdr:txBody>
          <a:bodyPr rtlCol="0" anchor="ctr"/>
          <a:lstStyle/>
          <a:p>
            <a:endParaRPr lang="pt-BR"/>
          </a:p>
        </xdr:txBody>
      </xdr:sp>
      <xdr:grpSp>
        <xdr:nvGrpSpPr>
          <xdr:cNvPr id="49" name="Gráfico 48">
            <a:extLst>
              <a:ext uri="{FF2B5EF4-FFF2-40B4-BE49-F238E27FC236}">
                <a16:creationId xmlns:a16="http://schemas.microsoft.com/office/drawing/2014/main" id="{00000000-0008-0000-0200-000031000000}"/>
              </a:ext>
            </a:extLst>
          </xdr:cNvPr>
          <xdr:cNvGrpSpPr/>
        </xdr:nvGrpSpPr>
        <xdr:grpSpPr>
          <a:xfrm>
            <a:off x="4087528" y="2461221"/>
            <a:ext cx="86264" cy="163428"/>
            <a:chOff x="4087528" y="2461221"/>
            <a:chExt cx="86264" cy="163428"/>
          </a:xfrm>
          <a:solidFill>
            <a:srgbClr val="292929"/>
          </a:solidFill>
        </xdr:grpSpPr>
        <xdr:sp macro="" textlink="">
          <xdr:nvSpPr>
            <xdr:cNvPr id="50" name="Forma Livre: Forma 49">
              <a:extLst>
                <a:ext uri="{FF2B5EF4-FFF2-40B4-BE49-F238E27FC236}">
                  <a16:creationId xmlns:a16="http://schemas.microsoft.com/office/drawing/2014/main" id="{00000000-0008-0000-0200-000032000000}"/>
                </a:ext>
              </a:extLst>
            </xdr:cNvPr>
            <xdr:cNvSpPr/>
          </xdr:nvSpPr>
          <xdr:spPr>
            <a:xfrm>
              <a:off x="4087528" y="2461221"/>
              <a:ext cx="86264" cy="23125"/>
            </a:xfrm>
            <a:custGeom>
              <a:avLst/>
              <a:gdLst>
                <a:gd name="connsiteX0" fmla="*/ 74702 w 86264"/>
                <a:gd name="connsiteY0" fmla="*/ 23126 h 23125"/>
                <a:gd name="connsiteX1" fmla="*/ 86265 w 86264"/>
                <a:gd name="connsiteY1" fmla="*/ 11563 h 23125"/>
                <a:gd name="connsiteX2" fmla="*/ 74702 w 86264"/>
                <a:gd name="connsiteY2" fmla="*/ 0 h 23125"/>
                <a:gd name="connsiteX3" fmla="*/ 0 w 86264"/>
                <a:gd name="connsiteY3" fmla="*/ 0 h 23125"/>
                <a:gd name="connsiteX4" fmla="*/ 0 w 86264"/>
                <a:gd name="connsiteY4" fmla="*/ 23125 h 23125"/>
                <a:gd name="connsiteX5" fmla="*/ 74702 w 86264"/>
                <a:gd name="connsiteY5" fmla="*/ 23125 h 23125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</a:cxnLst>
              <a:rect l="l" t="t" r="r" b="b"/>
              <a:pathLst>
                <a:path w="86264" h="23125">
                  <a:moveTo>
                    <a:pt x="74702" y="23126"/>
                  </a:moveTo>
                  <a:cubicBezTo>
                    <a:pt x="81088" y="23126"/>
                    <a:pt x="86265" y="17949"/>
                    <a:pt x="86265" y="11563"/>
                  </a:cubicBezTo>
                  <a:cubicBezTo>
                    <a:pt x="86265" y="5177"/>
                    <a:pt x="81088" y="0"/>
                    <a:pt x="74702" y="0"/>
                  </a:cubicBezTo>
                  <a:lnTo>
                    <a:pt x="0" y="0"/>
                  </a:lnTo>
                  <a:lnTo>
                    <a:pt x="0" y="23125"/>
                  </a:lnTo>
                  <a:lnTo>
                    <a:pt x="74702" y="23125"/>
                  </a:lnTo>
                  <a:close/>
                </a:path>
              </a:pathLst>
            </a:custGeom>
            <a:solidFill>
              <a:srgbClr val="292929"/>
            </a:solidFill>
            <a:ln w="726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pt-BR"/>
            </a:p>
          </xdr:txBody>
        </xdr:sp>
        <xdr:sp macro="" textlink="">
          <xdr:nvSpPr>
            <xdr:cNvPr id="51" name="Forma Livre: Forma 50">
              <a:extLst>
                <a:ext uri="{FF2B5EF4-FFF2-40B4-BE49-F238E27FC236}">
                  <a16:creationId xmlns:a16="http://schemas.microsoft.com/office/drawing/2014/main" id="{00000000-0008-0000-0200-000033000000}"/>
                </a:ext>
              </a:extLst>
            </xdr:cNvPr>
            <xdr:cNvSpPr/>
          </xdr:nvSpPr>
          <xdr:spPr>
            <a:xfrm>
              <a:off x="4087528" y="2601524"/>
              <a:ext cx="86264" cy="23125"/>
            </a:xfrm>
            <a:custGeom>
              <a:avLst/>
              <a:gdLst>
                <a:gd name="connsiteX0" fmla="*/ 74702 w 86264"/>
                <a:gd name="connsiteY0" fmla="*/ 23126 h 23125"/>
                <a:gd name="connsiteX1" fmla="*/ 86265 w 86264"/>
                <a:gd name="connsiteY1" fmla="*/ 11563 h 23125"/>
                <a:gd name="connsiteX2" fmla="*/ 74702 w 86264"/>
                <a:gd name="connsiteY2" fmla="*/ 0 h 23125"/>
                <a:gd name="connsiteX3" fmla="*/ 0 w 86264"/>
                <a:gd name="connsiteY3" fmla="*/ 0 h 23125"/>
                <a:gd name="connsiteX4" fmla="*/ 0 w 86264"/>
                <a:gd name="connsiteY4" fmla="*/ 23125 h 23125"/>
                <a:gd name="connsiteX5" fmla="*/ 74702 w 86264"/>
                <a:gd name="connsiteY5" fmla="*/ 23125 h 23125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</a:cxnLst>
              <a:rect l="l" t="t" r="r" b="b"/>
              <a:pathLst>
                <a:path w="86264" h="23125">
                  <a:moveTo>
                    <a:pt x="74702" y="23126"/>
                  </a:moveTo>
                  <a:cubicBezTo>
                    <a:pt x="81088" y="23126"/>
                    <a:pt x="86265" y="17949"/>
                    <a:pt x="86265" y="11563"/>
                  </a:cubicBezTo>
                  <a:cubicBezTo>
                    <a:pt x="86265" y="5177"/>
                    <a:pt x="81088" y="0"/>
                    <a:pt x="74702" y="0"/>
                  </a:cubicBezTo>
                  <a:lnTo>
                    <a:pt x="0" y="0"/>
                  </a:lnTo>
                  <a:lnTo>
                    <a:pt x="0" y="23125"/>
                  </a:lnTo>
                  <a:lnTo>
                    <a:pt x="74702" y="23125"/>
                  </a:lnTo>
                  <a:close/>
                </a:path>
              </a:pathLst>
            </a:custGeom>
            <a:solidFill>
              <a:srgbClr val="292929"/>
            </a:solidFill>
            <a:ln w="726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pt-BR"/>
            </a:p>
          </xdr:txBody>
        </xdr:sp>
      </xdr:grpSp>
    </xdr:grpSp>
    <xdr:clientData/>
  </xdr:twoCellAnchor>
  <xdr:twoCellAnchor>
    <xdr:from>
      <xdr:col>3</xdr:col>
      <xdr:colOff>238125</xdr:colOff>
      <xdr:row>30</xdr:row>
      <xdr:rowOff>76199</xdr:rowOff>
    </xdr:from>
    <xdr:to>
      <xdr:col>8</xdr:col>
      <xdr:colOff>247650</xdr:colOff>
      <xdr:row>41</xdr:row>
      <xdr:rowOff>38099</xdr:rowOff>
    </xdr:to>
    <xdr:graphicFrame macro="">
      <xdr:nvGraphicFramePr>
        <xdr:cNvPr id="52" name="Gráfico 51">
          <a:extLst>
            <a:ext uri="{FF2B5EF4-FFF2-40B4-BE49-F238E27FC236}">
              <a16:creationId xmlns:a16="http://schemas.microsoft.com/office/drawing/2014/main" id="{00000000-0008-0000-0200-00003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14</xdr:col>
      <xdr:colOff>190500</xdr:colOff>
      <xdr:row>29</xdr:row>
      <xdr:rowOff>114299</xdr:rowOff>
    </xdr:from>
    <xdr:to>
      <xdr:col>18</xdr:col>
      <xdr:colOff>548345</xdr:colOff>
      <xdr:row>41</xdr:row>
      <xdr:rowOff>85724</xdr:rowOff>
    </xdr:to>
    <xdr:sp macro="" textlink="">
      <xdr:nvSpPr>
        <xdr:cNvPr id="53" name="Retângulo 52">
          <a:extLst>
            <a:ext uri="{FF2B5EF4-FFF2-40B4-BE49-F238E27FC236}">
              <a16:creationId xmlns:a16="http://schemas.microsoft.com/office/drawing/2014/main" id="{00000000-0008-0000-0200-000035000000}"/>
            </a:ext>
          </a:extLst>
        </xdr:cNvPr>
        <xdr:cNvSpPr/>
      </xdr:nvSpPr>
      <xdr:spPr>
        <a:xfrm>
          <a:off x="8115300" y="4810124"/>
          <a:ext cx="2796245" cy="1914525"/>
        </a:xfrm>
        <a:prstGeom prst="rect">
          <a:avLst/>
        </a:prstGeom>
        <a:solidFill>
          <a:schemeClr val="bg1"/>
        </a:solidFill>
        <a:ln>
          <a:noFill/>
        </a:ln>
        <a:effectLst>
          <a:outerShdw blurRad="50800" dist="38100" dir="8100000" algn="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13</xdr:col>
      <xdr:colOff>543976</xdr:colOff>
      <xdr:row>4</xdr:row>
      <xdr:rowOff>152399</xdr:rowOff>
    </xdr:from>
    <xdr:to>
      <xdr:col>16</xdr:col>
      <xdr:colOff>122774</xdr:colOff>
      <xdr:row>6</xdr:row>
      <xdr:rowOff>9524</xdr:rowOff>
    </xdr:to>
    <xdr:sp macro="" textlink="">
      <xdr:nvSpPr>
        <xdr:cNvPr id="56" name="CaixaDeTexto 55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SpPr txBox="1"/>
      </xdr:nvSpPr>
      <xdr:spPr>
        <a:xfrm>
          <a:off x="7859176" y="800099"/>
          <a:ext cx="1407598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800" b="1">
              <a:solidFill>
                <a:schemeClr val="tx1">
                  <a:lumMod val="50000"/>
                  <a:lumOff val="50000"/>
                </a:schemeClr>
              </a:solidFill>
            </a:rPr>
            <a:t>Selecione</a:t>
          </a:r>
          <a:r>
            <a:rPr lang="pt-BR" sz="800" b="1" baseline="0">
              <a:solidFill>
                <a:schemeClr val="tx1">
                  <a:lumMod val="50000"/>
                  <a:lumOff val="50000"/>
                </a:schemeClr>
              </a:solidFill>
            </a:rPr>
            <a:t> o comprador</a:t>
          </a:r>
          <a:endParaRPr lang="pt-BR" sz="800" b="1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 fPrintsWithSheet="0"/>
  </xdr:twoCellAnchor>
  <xdr:twoCellAnchor>
    <xdr:from>
      <xdr:col>5</xdr:col>
      <xdr:colOff>428623</xdr:colOff>
      <xdr:row>8</xdr:row>
      <xdr:rowOff>28575</xdr:rowOff>
    </xdr:from>
    <xdr:to>
      <xdr:col>8</xdr:col>
      <xdr:colOff>410675</xdr:colOff>
      <xdr:row>9</xdr:row>
      <xdr:rowOff>58251</xdr:rowOff>
    </xdr:to>
    <xdr:sp macro="" textlink="">
      <xdr:nvSpPr>
        <xdr:cNvPr id="62" name="CaixaDeTexto 61">
          <a:extLst>
            <a:ext uri="{FF2B5EF4-FFF2-40B4-BE49-F238E27FC236}">
              <a16:creationId xmlns:a16="http://schemas.microsoft.com/office/drawing/2014/main" id="{00000000-0008-0000-0200-00003E000000}"/>
            </a:ext>
          </a:extLst>
        </xdr:cNvPr>
        <xdr:cNvSpPr txBox="1"/>
      </xdr:nvSpPr>
      <xdr:spPr>
        <a:xfrm>
          <a:off x="2867023" y="1323975"/>
          <a:ext cx="1810852" cy="1916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0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PERCENTUAL</a:t>
          </a:r>
          <a:r>
            <a:rPr lang="pt-BR" sz="1000" b="1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POR STATUS</a:t>
          </a:r>
          <a:endParaRPr lang="pt-BR" sz="1000" b="1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38100</xdr:colOff>
          <xdr:row>6</xdr:row>
          <xdr:rowOff>9525</xdr:rowOff>
        </xdr:from>
        <xdr:to>
          <xdr:col>18</xdr:col>
          <xdr:colOff>533400</xdr:colOff>
          <xdr:row>7</xdr:row>
          <xdr:rowOff>66675</xdr:rowOff>
        </xdr:to>
        <xdr:sp macro="" textlink="">
          <xdr:nvSpPr>
            <xdr:cNvPr id="4126" name="Drop Down 30" hidden="1">
              <a:extLst>
                <a:ext uri="{63B3BB69-23CF-44E3-9099-C40C66FF867C}">
                  <a14:compatExt spid="_x0000_s4126"/>
                </a:ext>
                <a:ext uri="{FF2B5EF4-FFF2-40B4-BE49-F238E27FC236}">
                  <a16:creationId xmlns:a16="http://schemas.microsoft.com/office/drawing/2014/main" id="{00000000-0008-0000-0200-00001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oneCellAnchor>
    <xdr:from>
      <xdr:col>5</xdr:col>
      <xdr:colOff>542924</xdr:colOff>
      <xdr:row>5</xdr:row>
      <xdr:rowOff>76200</xdr:rowOff>
    </xdr:from>
    <xdr:ext cx="3552825" cy="342786"/>
    <xdr:sp macro="" textlink="'Análise Comprador'!$C$1">
      <xdr:nvSpPr>
        <xdr:cNvPr id="73" name="Retângulo 72">
          <a:extLst>
            <a:ext uri="{FF2B5EF4-FFF2-40B4-BE49-F238E27FC236}">
              <a16:creationId xmlns:a16="http://schemas.microsoft.com/office/drawing/2014/main" id="{00000000-0008-0000-0200-000049000000}"/>
            </a:ext>
          </a:extLst>
        </xdr:cNvPr>
        <xdr:cNvSpPr/>
      </xdr:nvSpPr>
      <xdr:spPr>
        <a:xfrm>
          <a:off x="2981324" y="885825"/>
          <a:ext cx="3552825" cy="342786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marL="0" indent="0" algn="l"/>
          <a:fld id="{DA0EB8AE-2B8C-40C5-9435-C427661A1A13}" type="TxLink">
            <a:rPr lang="en-US" sz="1600" b="1" cap="none" spc="0">
              <a:ln/>
              <a:solidFill>
                <a:schemeClr val="tx2"/>
              </a:solidFill>
              <a:effectLst>
                <a:outerShdw blurRad="50800" dist="38100" dir="8100000" algn="tr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rPr>
            <a:pPr marL="0" indent="0" algn="l"/>
            <a:t>COMPRADOR 1</a:t>
          </a:fld>
          <a:endParaRPr lang="pt-BR" sz="1600" b="1" cap="none" spc="0">
            <a:ln/>
            <a:solidFill>
              <a:schemeClr val="tx2"/>
            </a:solidFill>
            <a:effectLst>
              <a:outerShdw blurRad="50800" dist="38100" dir="8100000" algn="tr" rotWithShape="0">
                <a:prstClr val="black">
                  <a:alpha val="40000"/>
                </a:prstClr>
              </a:outerShdw>
            </a:effectLst>
            <a:latin typeface="+mn-lt"/>
            <a:ea typeface="+mn-ea"/>
            <a:cs typeface="+mn-cs"/>
          </a:endParaRP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238126</xdr:colOff>
          <xdr:row>20</xdr:row>
          <xdr:rowOff>87338</xdr:rowOff>
        </xdr:from>
        <xdr:to>
          <xdr:col>9</xdr:col>
          <xdr:colOff>28575</xdr:colOff>
          <xdr:row>28</xdr:row>
          <xdr:rowOff>54325</xdr:rowOff>
        </xdr:to>
        <xdr:pic>
          <xdr:nvPicPr>
            <xdr:cNvPr id="75" name="Imagem 74">
              <a:extLst>
                <a:ext uri="{FF2B5EF4-FFF2-40B4-BE49-F238E27FC236}">
                  <a16:creationId xmlns:a16="http://schemas.microsoft.com/office/drawing/2014/main" id="{00000000-0008-0000-0200-00004B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'Análise Comprador'!$AA$2:$AD$7" spid="_x0000_s4962"/>
                </a:ext>
              </a:extLst>
            </xdr:cNvPicPr>
          </xdr:nvPicPr>
          <xdr:blipFill>
            <a:blip xmlns:r="http://schemas.openxmlformats.org/officeDocument/2006/relationships" r:embed="rId15"/>
            <a:srcRect/>
            <a:stretch>
              <a:fillRect/>
            </a:stretch>
          </xdr:blipFill>
          <xdr:spPr bwMode="auto">
            <a:xfrm>
              <a:off x="1457326" y="3325838"/>
              <a:ext cx="3448049" cy="1262387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oneCellAnchor>
    <xdr:from>
      <xdr:col>3</xdr:col>
      <xdr:colOff>110142</xdr:colOff>
      <xdr:row>5</xdr:row>
      <xdr:rowOff>85725</xdr:rowOff>
    </xdr:from>
    <xdr:ext cx="1651983" cy="342786"/>
    <xdr:sp macro="" textlink="">
      <xdr:nvSpPr>
        <xdr:cNvPr id="59" name="Retângulo 58">
          <a:extLst>
            <a:ext uri="{FF2B5EF4-FFF2-40B4-BE49-F238E27FC236}">
              <a16:creationId xmlns:a16="http://schemas.microsoft.com/office/drawing/2014/main" id="{00000000-0008-0000-0200-00003B000000}"/>
            </a:ext>
          </a:extLst>
        </xdr:cNvPr>
        <xdr:cNvSpPr/>
      </xdr:nvSpPr>
      <xdr:spPr>
        <a:xfrm>
          <a:off x="1329342" y="895350"/>
          <a:ext cx="1651983" cy="342786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marL="0" indent="0" algn="l"/>
          <a:r>
            <a:rPr lang="en-US" sz="1600" b="1" i="0" u="none" strike="noStrike" cap="none" spc="0">
              <a:ln/>
              <a:solidFill>
                <a:schemeClr val="accent2"/>
              </a:solidFill>
              <a:effectLst>
                <a:outerShdw blurRad="50800" dist="38100" dir="8100000" algn="tr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rPr>
            <a:t>COMPRADOR(A):</a:t>
          </a:r>
        </a:p>
      </xdr:txBody>
    </xdr:sp>
    <xdr:clientData/>
  </xdr:oneCellAnchor>
  <xdr:twoCellAnchor>
    <xdr:from>
      <xdr:col>8</xdr:col>
      <xdr:colOff>561976</xdr:colOff>
      <xdr:row>29</xdr:row>
      <xdr:rowOff>123825</xdr:rowOff>
    </xdr:from>
    <xdr:to>
      <xdr:col>14</xdr:col>
      <xdr:colOff>57150</xdr:colOff>
      <xdr:row>31</xdr:row>
      <xdr:rowOff>85724</xdr:rowOff>
    </xdr:to>
    <xdr:sp macro="" textlink="">
      <xdr:nvSpPr>
        <xdr:cNvPr id="60" name="CaixaDeTexto 59">
          <a:extLst>
            <a:ext uri="{FF2B5EF4-FFF2-40B4-BE49-F238E27FC236}">
              <a16:creationId xmlns:a16="http://schemas.microsoft.com/office/drawing/2014/main" id="{00000000-0008-0000-0200-00003C000000}"/>
            </a:ext>
          </a:extLst>
        </xdr:cNvPr>
        <xdr:cNvSpPr txBox="1"/>
      </xdr:nvSpPr>
      <xdr:spPr>
        <a:xfrm>
          <a:off x="4829176" y="4819650"/>
          <a:ext cx="3152774" cy="28574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000" b="1" i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Calibri" panose="020F0502020204030204" pitchFamily="34" charset="0"/>
              <a:ea typeface="+mn-ea"/>
              <a:cs typeface="Calibri" panose="020F0502020204030204" pitchFamily="34" charset="0"/>
            </a:rPr>
            <a:t>ITENS RECEBIDOS</a:t>
          </a:r>
          <a:r>
            <a:rPr lang="pt-BR" sz="1000" b="1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Calibri" panose="020F0502020204030204" pitchFamily="34" charset="0"/>
              <a:ea typeface="+mn-ea"/>
              <a:cs typeface="Calibri" panose="020F0502020204030204" pitchFamily="34" charset="0"/>
            </a:rPr>
            <a:t> - ATENDIDOS X NÃO ATENDIDOS</a:t>
          </a:r>
          <a:endParaRPr lang="pt-BR" sz="800">
            <a:effectLst/>
            <a:latin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514350</xdr:colOff>
      <xdr:row>31</xdr:row>
      <xdr:rowOff>9528</xdr:rowOff>
    </xdr:from>
    <xdr:to>
      <xdr:col>14</xdr:col>
      <xdr:colOff>47625</xdr:colOff>
      <xdr:row>41</xdr:row>
      <xdr:rowOff>9527</xdr:rowOff>
    </xdr:to>
    <xdr:graphicFrame macro="">
      <xdr:nvGraphicFramePr>
        <xdr:cNvPr id="61" name="Gráfico 60">
          <a:extLst>
            <a:ext uri="{FF2B5EF4-FFF2-40B4-BE49-F238E27FC236}">
              <a16:creationId xmlns:a16="http://schemas.microsoft.com/office/drawing/2014/main" id="{00000000-0008-0000-0200-00003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14</xdr:col>
      <xdr:colOff>390782</xdr:colOff>
      <xdr:row>33</xdr:row>
      <xdr:rowOff>123623</xdr:rowOff>
    </xdr:from>
    <xdr:to>
      <xdr:col>16</xdr:col>
      <xdr:colOff>238991</xdr:colOff>
      <xdr:row>39</xdr:row>
      <xdr:rowOff>133350</xdr:rowOff>
    </xdr:to>
    <xdr:sp macro="" textlink="'Análise Comprador'!AF5">
      <xdr:nvSpPr>
        <xdr:cNvPr id="63" name="Elipse 62">
          <a:extLst>
            <a:ext uri="{FF2B5EF4-FFF2-40B4-BE49-F238E27FC236}">
              <a16:creationId xmlns:a16="http://schemas.microsoft.com/office/drawing/2014/main" id="{00000000-0008-0000-0200-00003F000000}"/>
            </a:ext>
          </a:extLst>
        </xdr:cNvPr>
        <xdr:cNvSpPr/>
      </xdr:nvSpPr>
      <xdr:spPr>
        <a:xfrm>
          <a:off x="8315582" y="5467148"/>
          <a:ext cx="1067409" cy="981277"/>
        </a:xfrm>
        <a:prstGeom prst="ellipse">
          <a:avLst/>
        </a:prstGeom>
        <a:solidFill>
          <a:schemeClr val="tx1">
            <a:lumMod val="50000"/>
            <a:lumOff val="50000"/>
          </a:schemeClr>
        </a:solidFill>
        <a:ln w="38100">
          <a:solidFill>
            <a:schemeClr val="accent2"/>
          </a:solidFill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fld id="{724AFFFA-0F88-4FD2-9116-CF864A3C3FCA}" type="TxLink">
            <a:rPr lang="en-US" sz="2400" b="0" i="0" u="none" strike="noStrike">
              <a:solidFill>
                <a:sysClr val="windowText" lastClr="000000"/>
              </a:solidFill>
              <a:latin typeface="Trebuchet MS" panose="020B0603020202020204" pitchFamily="34" charset="0"/>
              <a:ea typeface="+mn-ea"/>
              <a:cs typeface="Calibri"/>
            </a:rPr>
            <a:pPr marL="0" indent="0" algn="ctr"/>
            <a:t>14</a:t>
          </a:fld>
          <a:endParaRPr lang="pt-BR" sz="2400" b="0" i="0" u="none" strike="noStrike">
            <a:solidFill>
              <a:sysClr val="windowText" lastClr="000000"/>
            </a:solidFill>
            <a:latin typeface="Trebuchet MS" panose="020B0603020202020204" pitchFamily="34" charset="0"/>
            <a:ea typeface="+mn-ea"/>
            <a:cs typeface="Calibri"/>
          </a:endParaRPr>
        </a:p>
      </xdr:txBody>
    </xdr:sp>
    <xdr:clientData/>
  </xdr:twoCellAnchor>
  <xdr:twoCellAnchor>
    <xdr:from>
      <xdr:col>14</xdr:col>
      <xdr:colOff>190500</xdr:colOff>
      <xdr:row>30</xdr:row>
      <xdr:rowOff>57149</xdr:rowOff>
    </xdr:from>
    <xdr:to>
      <xdr:col>18</xdr:col>
      <xdr:colOff>592282</xdr:colOff>
      <xdr:row>31</xdr:row>
      <xdr:rowOff>19049</xdr:rowOff>
    </xdr:to>
    <xdr:sp macro="" textlink="">
      <xdr:nvSpPr>
        <xdr:cNvPr id="64" name="CaixaDeTexto 63">
          <a:extLst>
            <a:ext uri="{FF2B5EF4-FFF2-40B4-BE49-F238E27FC236}">
              <a16:creationId xmlns:a16="http://schemas.microsoft.com/office/drawing/2014/main" id="{00000000-0008-0000-0200-000040000000}"/>
            </a:ext>
          </a:extLst>
        </xdr:cNvPr>
        <xdr:cNvSpPr txBox="1"/>
      </xdr:nvSpPr>
      <xdr:spPr>
        <a:xfrm>
          <a:off x="8115300" y="4914899"/>
          <a:ext cx="2840182" cy="1238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000" b="1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Calibri" panose="020F0502020204030204" pitchFamily="34" charset="0"/>
              <a:cs typeface="Calibri" panose="020F0502020204030204" pitchFamily="34" charset="0"/>
            </a:rPr>
            <a:t>TEMPO MÉDIO DE ATENDIMENTO (DIAS) - AGING</a:t>
          </a:r>
          <a:endParaRPr lang="pt-BR" sz="1000" b="1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16</xdr:col>
      <xdr:colOff>590807</xdr:colOff>
      <xdr:row>33</xdr:row>
      <xdr:rowOff>123623</xdr:rowOff>
    </xdr:from>
    <xdr:to>
      <xdr:col>18</xdr:col>
      <xdr:colOff>439016</xdr:colOff>
      <xdr:row>39</xdr:row>
      <xdr:rowOff>133350</xdr:rowOff>
    </xdr:to>
    <xdr:sp macro="" textlink="'Análise Comprador'!AF12">
      <xdr:nvSpPr>
        <xdr:cNvPr id="65" name="Elipse 64">
          <a:extLst>
            <a:ext uri="{FF2B5EF4-FFF2-40B4-BE49-F238E27FC236}">
              <a16:creationId xmlns:a16="http://schemas.microsoft.com/office/drawing/2014/main" id="{00000000-0008-0000-0200-000041000000}"/>
            </a:ext>
          </a:extLst>
        </xdr:cNvPr>
        <xdr:cNvSpPr/>
      </xdr:nvSpPr>
      <xdr:spPr>
        <a:xfrm>
          <a:off x="9734807" y="5467148"/>
          <a:ext cx="1067409" cy="981277"/>
        </a:xfrm>
        <a:prstGeom prst="ellipse">
          <a:avLst/>
        </a:prstGeom>
        <a:solidFill>
          <a:schemeClr val="tx1">
            <a:lumMod val="50000"/>
            <a:lumOff val="50000"/>
          </a:schemeClr>
        </a:solidFill>
        <a:ln w="38100">
          <a:solidFill>
            <a:schemeClr val="accent2"/>
          </a:solidFill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fld id="{D0A0B01C-D32F-4B72-9D06-F4E1C06FAB53}" type="TxLink">
            <a:rPr lang="en-US" sz="2400" b="0" i="0" u="none" strike="noStrike">
              <a:solidFill>
                <a:sysClr val="windowText" lastClr="000000"/>
              </a:solidFill>
              <a:latin typeface="Trebuchet MS" panose="020B0603020202020204" pitchFamily="34" charset="0"/>
              <a:ea typeface="+mn-ea"/>
              <a:cs typeface="Calibri"/>
            </a:rPr>
            <a:pPr marL="0" indent="0" algn="ctr"/>
            <a:t>4</a:t>
          </a:fld>
          <a:endParaRPr lang="pt-BR" sz="2400" b="0" i="0" u="none" strike="noStrike">
            <a:solidFill>
              <a:sysClr val="windowText" lastClr="000000"/>
            </a:solidFill>
            <a:latin typeface="Trebuchet MS" panose="020B0603020202020204" pitchFamily="34" charset="0"/>
            <a:ea typeface="+mn-ea"/>
            <a:cs typeface="Calibri"/>
          </a:endParaRPr>
        </a:p>
      </xdr:txBody>
    </xdr:sp>
    <xdr:clientData/>
  </xdr:twoCellAnchor>
  <xdr:twoCellAnchor>
    <xdr:from>
      <xdr:col>14</xdr:col>
      <xdr:colOff>434763</xdr:colOff>
      <xdr:row>32</xdr:row>
      <xdr:rowOff>47626</xdr:rowOff>
    </xdr:from>
    <xdr:to>
      <xdr:col>16</xdr:col>
      <xdr:colOff>143741</xdr:colOff>
      <xdr:row>33</xdr:row>
      <xdr:rowOff>28575</xdr:rowOff>
    </xdr:to>
    <xdr:sp macro="" textlink="">
      <xdr:nvSpPr>
        <xdr:cNvPr id="66" name="CaixaDeTexto 65">
          <a:extLst>
            <a:ext uri="{FF2B5EF4-FFF2-40B4-BE49-F238E27FC236}">
              <a16:creationId xmlns:a16="http://schemas.microsoft.com/office/drawing/2014/main" id="{00000000-0008-0000-0200-000042000000}"/>
            </a:ext>
          </a:extLst>
        </xdr:cNvPr>
        <xdr:cNvSpPr txBox="1"/>
      </xdr:nvSpPr>
      <xdr:spPr>
        <a:xfrm>
          <a:off x="8359563" y="5229226"/>
          <a:ext cx="928178" cy="1428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000" b="1" cap="none" spc="0" baseline="0">
              <a:ln w="0"/>
              <a:solidFill>
                <a:sysClr val="windowText" lastClr="00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RC'S</a:t>
          </a:r>
          <a:endParaRPr lang="pt-BR" sz="1000" b="1" cap="none" spc="0">
            <a:ln w="0"/>
            <a:solidFill>
              <a:sysClr val="windowText" lastClr="00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17</xdr:col>
      <xdr:colOff>63288</xdr:colOff>
      <xdr:row>32</xdr:row>
      <xdr:rowOff>47626</xdr:rowOff>
    </xdr:from>
    <xdr:to>
      <xdr:col>18</xdr:col>
      <xdr:colOff>381866</xdr:colOff>
      <xdr:row>33</xdr:row>
      <xdr:rowOff>28575</xdr:rowOff>
    </xdr:to>
    <xdr:sp macro="" textlink="">
      <xdr:nvSpPr>
        <xdr:cNvPr id="67" name="CaixaDeTexto 66">
          <a:extLst>
            <a:ext uri="{FF2B5EF4-FFF2-40B4-BE49-F238E27FC236}">
              <a16:creationId xmlns:a16="http://schemas.microsoft.com/office/drawing/2014/main" id="{00000000-0008-0000-0200-000043000000}"/>
            </a:ext>
          </a:extLst>
        </xdr:cNvPr>
        <xdr:cNvSpPr txBox="1"/>
      </xdr:nvSpPr>
      <xdr:spPr>
        <a:xfrm>
          <a:off x="9816888" y="5229226"/>
          <a:ext cx="928178" cy="1428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000" b="1" cap="none" spc="0" baseline="0">
              <a:ln w="0"/>
              <a:solidFill>
                <a:schemeClr val="tx1">
                  <a:lumMod val="85000"/>
                  <a:lumOff val="1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ITEM</a:t>
          </a:r>
          <a:endParaRPr lang="pt-BR" sz="1000" b="1" cap="none" spc="0">
            <a:ln w="0"/>
            <a:solidFill>
              <a:schemeClr val="tx1">
                <a:lumMod val="85000"/>
                <a:lumOff val="15000"/>
              </a:schemeClr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 editAs="absolute">
    <xdr:from>
      <xdr:col>3</xdr:col>
      <xdr:colOff>123825</xdr:colOff>
      <xdr:row>0</xdr:row>
      <xdr:rowOff>85725</xdr:rowOff>
    </xdr:from>
    <xdr:to>
      <xdr:col>6</xdr:col>
      <xdr:colOff>371475</xdr:colOff>
      <xdr:row>5</xdr:row>
      <xdr:rowOff>114300</xdr:rowOff>
    </xdr:to>
    <xdr:graphicFrame macro="">
      <xdr:nvGraphicFramePr>
        <xdr:cNvPr id="68" name="Diagrama 67">
          <a:extLst>
            <a:ext uri="{FF2B5EF4-FFF2-40B4-BE49-F238E27FC236}">
              <a16:creationId xmlns:a16="http://schemas.microsoft.com/office/drawing/2014/main" id="{00000000-0008-0000-0200-00004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diagram">
          <dgm:relIds xmlns:dgm="http://schemas.openxmlformats.org/drawingml/2006/diagram" xmlns:r="http://schemas.openxmlformats.org/officeDocument/2006/relationships" r:dm="rId17" r:lo="rId18" r:qs="rId19" r:cs="rId20"/>
        </a:graphicData>
      </a:graphic>
    </xdr:graphicFrame>
    <xdr:clientData fLocksWithSheet="0"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Lamoniza Marçal de Marcos Amaral" id="{B200C6EF-AC3F-4530-974F-4A1FA997E918}" userId="S::lamonizamarcal.CAPTURA_RH@transpetro.com.br::93133071-dc68-45c0-a510-0100fe7b66b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2D78C89-FBEB-4BD1-A7D0-71A4932E512D}" name="tbControle" displayName="tbControle" ref="A8:AC99" totalsRowShown="0">
  <autoFilter ref="A8:AC99" xr:uid="{D053CC0D-C12A-4542-B798-4C96E64A3705}"/>
  <tableColumns count="29">
    <tableColumn id="1" xr3:uid="{951CBDFB-4F3D-4DDF-ADEF-731DBD6B1403}" name="ReqC" dataDxfId="26"/>
    <tableColumn id="19" xr3:uid="{7EA98CF5-5104-4A02-9806-3AD79D926281}" name="Aging [dias]" dataDxfId="25">
      <calculatedColumnFormula>IF(tbControle[Data Inicial Comprador]="","",IF(tbControle[Data Final Comprador]="",TODAY()-tbControle[Data Transferência],tbControle[Data Final Comprador]-tbControle[Data Transferência]))</calculatedColumnFormula>
    </tableColumn>
    <tableColumn id="9" xr3:uid="{3211162F-A037-427A-A167-D9251743976C}" name="Comprador" dataDxfId="24"/>
    <tableColumn id="2" xr3:uid="{14903F32-1F01-4A36-BCD1-A867E032AF6F}" name="Item" dataDxfId="23"/>
    <tableColumn id="3" xr3:uid="{CC20535A-390E-4AE4-971E-C4A2C29E3351}" name="Material" dataDxfId="22"/>
    <tableColumn id="4" xr3:uid="{178A1045-F258-478A-BA97-9CF1C82D2CC4}" name="Descrição" dataDxfId="21"/>
    <tableColumn id="5" xr3:uid="{B2807D7A-6070-4705-95E6-90258B3C98CA}" name="Quantidade" dataDxfId="20"/>
    <tableColumn id="6" xr3:uid="{5587ED33-D4B1-48D7-B9F4-FBD9F7465BBA}" name="Valor Total" dataDxfId="19" dataCellStyle="Moeda"/>
    <tableColumn id="7" xr3:uid="{AE869F62-C1C4-4B74-AFD8-2605B9E4D971}" name="Data Transferência" dataDxfId="18"/>
    <tableColumn id="8" xr3:uid="{F10D4DC6-A762-4503-99F9-EF95CD3758D9}" name="Data Inicial Comprador" dataDxfId="17"/>
    <tableColumn id="12" xr3:uid="{7C4303EC-E7A8-4D90-A35D-786A46E3DA48}" name="Status Comprador" dataDxfId="16"/>
    <tableColumn id="28" xr3:uid="{0261EFFF-D548-4CCB-9FA3-A6A73E1B00FF}" name="Data Final Comprador" dataDxfId="15"/>
    <tableColumn id="11" xr3:uid="{F93B239B-E4E5-43F0-8EA2-999982D66164}" name="Data Abert. Cotação" dataDxfId="14"/>
    <tableColumn id="10" xr3:uid="{7EC10E21-8302-4184-93AB-6EF8C7B47DB1}" name="Nº. Cotação" dataDxfId="13"/>
    <tableColumn id="24" xr3:uid="{CD811826-8AFD-401E-8101-089D35AC58FC}" name="Status Cotação" dataDxfId="12"/>
    <tableColumn id="25" xr3:uid="{B1DC5F0E-3497-489F-9E3C-0A398C59863B}" name="Data Encer. Cotação" dataDxfId="11"/>
    <tableColumn id="20" xr3:uid="{A1D7A618-8518-405E-94F5-6B84A71BCB47}" name="Obs. Cotação" dataDxfId="10"/>
    <tableColumn id="14" xr3:uid="{C25F92E2-0D32-4970-B57B-133FD22DF774}" name="Data Pedido" dataDxfId="9"/>
    <tableColumn id="13" xr3:uid="{4C86AA2A-ADCE-4772-914B-38E345730C86}" name="Nº. Pedido" dataDxfId="8"/>
    <tableColumn id="15" xr3:uid="{6A38274E-C48F-418B-9896-2F57D3F114AC}" name="Valor Pedido" dataDxfId="7"/>
    <tableColumn id="26" xr3:uid="{91FAE901-5363-403F-A806-0010795D6863}" name="Status Pedido" dataDxfId="6"/>
    <tableColumn id="16" xr3:uid="{1C19A73B-934B-4723-BCE0-AA479199948E}" name="Data Envio Pedido" dataDxfId="5"/>
    <tableColumn id="17" xr3:uid="{77ADAE5C-3597-43D8-925A-2CC054FF3596}" name="Obs. Pedido" dataDxfId="4"/>
    <tableColumn id="23" xr3:uid="{7EE08899-1C1F-4AAF-A6DD-C9F2BD848A5F}" name="Qtde ReqC">
      <calculatedColumnFormula>IF(tbControle[ReqC]="","",1/COUNTIF(tbControle[ReqC],tbControle[[#This Row],[ReqC]]))</calculatedColumnFormula>
    </tableColumn>
    <tableColumn id="18" xr3:uid="{B509CF8E-68DC-482F-B849-E9F322F802E5}" name="Aging Fracion.">
      <calculatedColumnFormula>IF(OR(tbControle[Qtde ReqC]="",tbControle[Aging '[dias']]=""),"",tbControle[Qtde ReqC]*tbControle[Aging '[dias']])</calculatedColumnFormula>
    </tableColumn>
    <tableColumn id="27" xr3:uid="{A3C4B226-5179-43B5-A377-0CFB1E0723BF}" name="Item Exclusívo">
      <calculatedColumnFormula>IF(OR(tbControle[[#This Row],[ReqC]]="",tbControle[[#This Row],[Item]]="",tbControle[[#This Row],[Data Transferência]]=""),"",_xlfn.CONCAT(tbControle[[#This Row],[ReqC]],"-",tbControle[[#This Row],[Item]],"-",tbControle[[#This Row],[Data Transferência]]))</calculatedColumnFormula>
    </tableColumn>
    <tableColumn id="29" xr3:uid="{CE852493-C326-4D92-B09E-1F457CD3BB1D}" name="Qtde Exclusivo">
      <calculatedColumnFormula>IF(tbControle[Item Exclusívo]="","",1/COUNTIF(tbControle[Item Exclusívo],tbControle[[#This Row],[Item Exclusívo]]))</calculatedColumnFormula>
    </tableColumn>
    <tableColumn id="21" xr3:uid="{D730BB54-63F8-4DFE-9A3E-6985A8A922D7}" name="Mês Trans.">
      <calculatedColumnFormula>IF(tbControle[Data Transferência]="","",MONTH(tbControle[Data Transferência]))</calculatedColumnFormula>
    </tableColumn>
    <tableColumn id="22" xr3:uid="{2AE3772F-2717-4AD6-8E9D-D9BBBC7B8389}" name="Ano Trans.">
      <calculatedColumnFormula>IF(tbControle[Data Transferência]="","",YEAR(tbControle[Data Transferência]))</calculatedColumnFormula>
    </tableColumn>
  </tableColumns>
  <tableStyleInfo name="TableStyleMedium1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F569E8F-98A7-40B4-B4E4-CB6034CA3EF1}" name="tbComprador" displayName="tbComprador" ref="A3:B8" totalsRowShown="0" headerRowDxfId="3" dataDxfId="2">
  <autoFilter ref="A3:B8" xr:uid="{89E1DCFB-127C-4A8C-9262-6816A48AE99C}">
    <filterColumn colId="0" hiddenButton="1"/>
    <filterColumn colId="1" hiddenButton="1"/>
  </autoFilter>
  <tableColumns count="2">
    <tableColumn id="1" xr3:uid="{BCC7A1A3-5BE4-44D5-AB4B-8E41FC1939D0}" name="ID" dataDxfId="1"/>
    <tableColumn id="2" xr3:uid="{6FB92253-7BDF-4C45-8EED-AB8ABEC2144F}" name="Nome Comprador" dataDxfId="0"/>
  </tableColumns>
  <tableStyleInfo name="TableStyleMedium20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Aspecto">
      <a:dk1>
        <a:sysClr val="windowText" lastClr="000000"/>
      </a:dk1>
      <a:lt1>
        <a:sysClr val="window" lastClr="FFFFFF"/>
      </a:lt1>
      <a:dk2>
        <a:srgbClr val="323232"/>
      </a:dk2>
      <a:lt2>
        <a:srgbClr val="E3DED1"/>
      </a:lt2>
      <a:accent1>
        <a:srgbClr val="F07F09"/>
      </a:accent1>
      <a:accent2>
        <a:srgbClr val="9F2936"/>
      </a:accent2>
      <a:accent3>
        <a:srgbClr val="1B587C"/>
      </a:accent3>
      <a:accent4>
        <a:srgbClr val="4E8542"/>
      </a:accent4>
      <a:accent5>
        <a:srgbClr val="604878"/>
      </a:accent5>
      <a:accent6>
        <a:srgbClr val="C19859"/>
      </a:accent6>
      <a:hlink>
        <a:srgbClr val="6B9F25"/>
      </a:hlink>
      <a:folHlink>
        <a:srgbClr val="B26B0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eme/themeOverride1.xml><?xml version="1.0" encoding="utf-8"?>
<a:themeOverride xmlns:a="http://schemas.openxmlformats.org/drawingml/2006/main">
  <a:clrScheme name="Aspecto">
    <a:dk1>
      <a:sysClr val="windowText" lastClr="000000"/>
    </a:dk1>
    <a:lt1>
      <a:sysClr val="window" lastClr="FFFFFF"/>
    </a:lt1>
    <a:dk2>
      <a:srgbClr val="323232"/>
    </a:dk2>
    <a:lt2>
      <a:srgbClr val="E3DED1"/>
    </a:lt2>
    <a:accent1>
      <a:srgbClr val="F07F09"/>
    </a:accent1>
    <a:accent2>
      <a:srgbClr val="9F2936"/>
    </a:accent2>
    <a:accent3>
      <a:srgbClr val="1B587C"/>
    </a:accent3>
    <a:accent4>
      <a:srgbClr val="4E8542"/>
    </a:accent4>
    <a:accent5>
      <a:srgbClr val="604878"/>
    </a:accent5>
    <a:accent6>
      <a:srgbClr val="C19859"/>
    </a:accent6>
    <a:hlink>
      <a:srgbClr val="6B9F25"/>
    </a:hlink>
    <a:folHlink>
      <a:srgbClr val="B26B0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.xml><?xml version="1.0" encoding="utf-8"?>
<a:themeOverride xmlns:a="http://schemas.openxmlformats.org/drawingml/2006/main">
  <a:clrScheme name="Aspecto">
    <a:dk1>
      <a:sysClr val="windowText" lastClr="000000"/>
    </a:dk1>
    <a:lt1>
      <a:sysClr val="window" lastClr="FFFFFF"/>
    </a:lt1>
    <a:dk2>
      <a:srgbClr val="323232"/>
    </a:dk2>
    <a:lt2>
      <a:srgbClr val="E3DED1"/>
    </a:lt2>
    <a:accent1>
      <a:srgbClr val="F07F09"/>
    </a:accent1>
    <a:accent2>
      <a:srgbClr val="9F2936"/>
    </a:accent2>
    <a:accent3>
      <a:srgbClr val="1B587C"/>
    </a:accent3>
    <a:accent4>
      <a:srgbClr val="4E8542"/>
    </a:accent4>
    <a:accent5>
      <a:srgbClr val="604878"/>
    </a:accent5>
    <a:accent6>
      <a:srgbClr val="C19859"/>
    </a:accent6>
    <a:hlink>
      <a:srgbClr val="6B9F25"/>
    </a:hlink>
    <a:folHlink>
      <a:srgbClr val="B26B0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L65" dT="2020-06-26T13:40:45.32" personId="{B200C6EF-AC3F-4530-974F-4A1FA997E918}" id="{DEBFF47B-BA1C-49C3-9B2B-6997B2D85C96}">
    <text>Cancelada por Diogo Pinheiro 26/06/2020 08:30</text>
  </threadedComment>
  <threadedComment ref="L103" dT="2020-06-19T21:12:01.61" personId="{B200C6EF-AC3F-4530-974F-4A1FA997E918}" id="{09088CF5-AA36-4901-81E3-D8BA5E159341}">
    <text>RC cancelada por Viviane 19/06 às 17:59h por se tratar de material importado</text>
  </threadedComment>
  <threadedComment ref="O103" dT="2020-06-19T21:12:01.61" personId="{B200C6EF-AC3F-4530-974F-4A1FA997E918}" id="{2C973234-C47A-4A8B-B31D-B87233E355D3}">
    <text>RC cancelada por Viviane 19/06 às 17:59h por se tratar de material importado</text>
  </threadedComment>
  <threadedComment ref="L150" dT="2020-07-15T17:05:29.46" personId="{B200C6EF-AC3F-4530-974F-4A1FA997E918}" id="{46324DC2-985E-4989-A235-8429EADFEB51}">
    <text>15/07/2020 12:54 Nilson Vargas</text>
  </threadedComment>
  <threadedComment ref="L175" dT="2020-07-14T12:23:28.21" personId="{B200C6EF-AC3F-4530-974F-4A1FA997E918}" id="{7C0B7ACF-0DD5-49E4-BAB2-ABC7F430FF7E}">
    <text>Cancelada por Wanessa 02/07/2020</text>
  </threadedComment>
  <threadedComment ref="O229" dT="2020-07-14T21:31:19.58" personId="{B200C6EF-AC3F-4530-974F-4A1FA997E918}" id="{765F5115-4742-47F5-B884-35E729F40623}">
    <text>Item cancelado pela Transpetro</text>
  </threadedComment>
  <threadedComment ref="L289" dT="2020-07-16T18:07:17.65" personId="{B200C6EF-AC3F-4530-974F-4A1FA997E918}" id="{7BE9AF54-1755-452B-97A9-CAFB4A2FB8AB}">
    <text>Não encontrado no mercado</text>
  </threadedComment>
  <threadedComment ref="L307" dT="2020-06-29T14:16:26.69" personId="{B200C6EF-AC3F-4530-974F-4A1FA997E918}" id="{71CEFA44-425C-42F4-B119-EDDB18F703CC}">
    <text>Cancelamento Transpetro - Lindomar Batista , 29 de junho de 2020 09:53</text>
  </threadedComment>
  <threadedComment ref="L385" dT="2020-06-30T14:17:40.68" personId="{B200C6EF-AC3F-4530-974F-4A1FA997E918}" id="{76D98257-E38F-4871-BA22-074D1BDFAF51}">
    <text>RC atendida por comprador de outro grupo. 30/06/20 11:15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microsoft.com/office/2017/10/relationships/threadedComment" Target="../threadedComments/threadedComment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RCBPO">
    <tabColor theme="1"/>
  </sheetPr>
  <dimension ref="A6:AE99"/>
  <sheetViews>
    <sheetView showGridLines="0" tabSelected="1" workbookViewId="0">
      <pane ySplit="8" topLeftCell="A96" activePane="bottomLeft" state="frozen"/>
      <selection pane="bottomLeft" activeCell="A99" sqref="A99"/>
    </sheetView>
  </sheetViews>
  <sheetFormatPr defaultColWidth="0" defaultRowHeight="15" x14ac:dyDescent="0.25"/>
  <cols>
    <col min="1" max="1" width="15.42578125" customWidth="1"/>
    <col min="2" max="3" width="15.28515625" customWidth="1"/>
    <col min="4" max="4" width="9.85546875" bestFit="1" customWidth="1"/>
    <col min="5" max="5" width="12.7109375" bestFit="1" customWidth="1"/>
    <col min="6" max="6" width="47.7109375" customWidth="1"/>
    <col min="7" max="7" width="15.7109375" style="3" bestFit="1" customWidth="1"/>
    <col min="8" max="8" width="16" bestFit="1" customWidth="1"/>
    <col min="9" max="9" width="24.7109375" customWidth="1"/>
    <col min="10" max="11" width="26.140625" customWidth="1"/>
    <col min="12" max="12" width="30.7109375" customWidth="1"/>
    <col min="13" max="13" width="24.7109375" style="2" customWidth="1"/>
    <col min="14" max="14" width="39.140625" style="4" customWidth="1"/>
    <col min="15" max="15" width="30.7109375" style="4" customWidth="1"/>
    <col min="16" max="16" width="24.7109375" style="4" customWidth="1"/>
    <col min="17" max="17" width="50.7109375" style="4" customWidth="1"/>
    <col min="18" max="18" width="24.7109375" customWidth="1"/>
    <col min="19" max="20" width="24.7109375" style="1" customWidth="1"/>
    <col min="21" max="21" width="30.7109375" customWidth="1"/>
    <col min="22" max="22" width="24.7109375" style="1" customWidth="1"/>
    <col min="23" max="23" width="83.42578125" style="1" customWidth="1"/>
    <col min="24" max="25" width="14.7109375" style="2" hidden="1" customWidth="1"/>
    <col min="26" max="26" width="18.7109375" style="2" hidden="1" customWidth="1"/>
    <col min="27" max="27" width="18.5703125" style="2" hidden="1" customWidth="1"/>
    <col min="28" max="31" width="15.140625" hidden="1" customWidth="1"/>
    <col min="32" max="16384" width="9.140625" hidden="1"/>
  </cols>
  <sheetData>
    <row r="6" spans="1:29" x14ac:dyDescent="0.25">
      <c r="A6" s="6"/>
    </row>
    <row r="8" spans="1:29" x14ac:dyDescent="0.25">
      <c r="A8" s="56" t="s">
        <v>0</v>
      </c>
      <c r="B8" s="56" t="s">
        <v>39</v>
      </c>
      <c r="C8" s="56" t="s">
        <v>4</v>
      </c>
      <c r="D8" s="56" t="s">
        <v>1</v>
      </c>
      <c r="E8" s="56" t="s">
        <v>2</v>
      </c>
      <c r="F8" s="56" t="s">
        <v>38</v>
      </c>
      <c r="G8" s="56" t="s">
        <v>3</v>
      </c>
      <c r="H8" s="57" t="s">
        <v>48</v>
      </c>
      <c r="I8" s="58" t="s">
        <v>9</v>
      </c>
      <c r="J8" s="58" t="s">
        <v>57</v>
      </c>
      <c r="K8" s="56" t="s">
        <v>59</v>
      </c>
      <c r="L8" s="58" t="s">
        <v>58</v>
      </c>
      <c r="M8" s="58" t="s">
        <v>53</v>
      </c>
      <c r="N8" s="56" t="s">
        <v>5</v>
      </c>
      <c r="O8" s="58" t="s">
        <v>52</v>
      </c>
      <c r="P8" s="58" t="s">
        <v>54</v>
      </c>
      <c r="Q8" s="56" t="s">
        <v>51</v>
      </c>
      <c r="R8" s="58" t="s">
        <v>10</v>
      </c>
      <c r="S8" s="56" t="s">
        <v>6</v>
      </c>
      <c r="T8" s="56" t="s">
        <v>60</v>
      </c>
      <c r="U8" s="56" t="s">
        <v>49</v>
      </c>
      <c r="V8" s="58" t="s">
        <v>55</v>
      </c>
      <c r="W8" s="58" t="s">
        <v>56</v>
      </c>
      <c r="X8" s="52" t="s">
        <v>37</v>
      </c>
      <c r="Y8" s="52" t="s">
        <v>44</v>
      </c>
      <c r="Z8" s="52" t="s">
        <v>61</v>
      </c>
      <c r="AA8" s="52" t="s">
        <v>62</v>
      </c>
      <c r="AB8" s="50" t="s">
        <v>35</v>
      </c>
      <c r="AC8" s="50" t="s">
        <v>36</v>
      </c>
    </row>
    <row r="9" spans="1:29" ht="16.5" x14ac:dyDescent="0.25">
      <c r="A9" s="59">
        <v>10111213</v>
      </c>
      <c r="B9" s="55">
        <f ca="1">IF(tbControle[Data Inicial Comprador]="","",IF(tbControle[Data Final Comprador]="",TODAY()-tbControle[Data Transferência],tbControle[Data Final Comprador]-tbControle[Data Transferência]))</f>
        <v>18</v>
      </c>
      <c r="C9" s="56" t="s">
        <v>70</v>
      </c>
      <c r="D9" s="59">
        <v>10</v>
      </c>
      <c r="E9" s="59">
        <v>175110</v>
      </c>
      <c r="F9" s="56" t="s">
        <v>87</v>
      </c>
      <c r="G9" s="56">
        <v>10</v>
      </c>
      <c r="H9" s="60">
        <v>100</v>
      </c>
      <c r="I9" s="58">
        <v>43949</v>
      </c>
      <c r="J9" s="58">
        <v>43949</v>
      </c>
      <c r="K9" s="58" t="s">
        <v>7</v>
      </c>
      <c r="L9" s="58">
        <v>43967</v>
      </c>
      <c r="M9" s="58">
        <v>43949</v>
      </c>
      <c r="N9" s="59">
        <v>111</v>
      </c>
      <c r="O9" s="58" t="s">
        <v>187</v>
      </c>
      <c r="P9" s="58">
        <v>43961</v>
      </c>
      <c r="Q9" s="58"/>
      <c r="R9" s="58">
        <v>43967</v>
      </c>
      <c r="S9" s="59">
        <v>123654</v>
      </c>
      <c r="T9" s="60">
        <v>100</v>
      </c>
      <c r="U9" s="56" t="s">
        <v>188</v>
      </c>
      <c r="V9" s="58">
        <v>43967</v>
      </c>
      <c r="W9" s="58"/>
      <c r="X9" s="51">
        <f>IF(tbControle[ReqC]="","",1/COUNTIF(tbControle[ReqC],tbControle[[#This Row],[ReqC]]))</f>
        <v>6.6666666666666666E-2</v>
      </c>
      <c r="Y9" s="51">
        <f ca="1">IF(OR(tbControle[Qtde ReqC]="",tbControle[Aging '[dias']]=""),"",tbControle[Qtde ReqC]*tbControle[Aging '[dias']])</f>
        <v>1.2</v>
      </c>
      <c r="Z9" s="51" t="str">
        <f>IF(OR(tbControle[[#This Row],[ReqC]]="",tbControle[[#This Row],[Item]]="",tbControle[[#This Row],[Data Transferência]]=""),"",_xlfn.CONCAT(tbControle[[#This Row],[ReqC]],"-",tbControle[[#This Row],[Item]],"-",tbControle[[#This Row],[Data Transferência]]))</f>
        <v>10111213-10-43949</v>
      </c>
      <c r="AA9" s="51">
        <f>IF(tbControle[Item Exclusívo]="","",1/COUNTIF(tbControle[Item Exclusívo],tbControle[[#This Row],[Item Exclusívo]]))</f>
        <v>1</v>
      </c>
      <c r="AB9" s="53">
        <f>IF(tbControle[Data Transferência]="","",MONTH(tbControle[Data Transferência]))</f>
        <v>4</v>
      </c>
      <c r="AC9" s="53">
        <f>IF(tbControle[Data Transferência]="","",YEAR(tbControle[Data Transferência]))</f>
        <v>2020</v>
      </c>
    </row>
    <row r="10" spans="1:29" ht="16.5" x14ac:dyDescent="0.25">
      <c r="A10" s="59">
        <v>10111213</v>
      </c>
      <c r="B10" s="55">
        <f ca="1">IF(tbControle[Data Inicial Comprador]="","",IF(tbControle[Data Final Comprador]="",TODAY()-tbControle[Data Transferência],tbControle[Data Final Comprador]-tbControle[Data Transferência]))</f>
        <v>18</v>
      </c>
      <c r="C10" s="56" t="s">
        <v>70</v>
      </c>
      <c r="D10" s="59">
        <v>20</v>
      </c>
      <c r="E10" s="57">
        <v>316461</v>
      </c>
      <c r="F10" s="57" t="s">
        <v>89</v>
      </c>
      <c r="G10" s="57">
        <v>50</v>
      </c>
      <c r="H10" s="60">
        <v>3250</v>
      </c>
      <c r="I10" s="58">
        <v>43949</v>
      </c>
      <c r="J10" s="58">
        <v>43949</v>
      </c>
      <c r="K10" s="58" t="s">
        <v>7</v>
      </c>
      <c r="L10" s="58">
        <v>43967</v>
      </c>
      <c r="M10" s="58">
        <v>43949</v>
      </c>
      <c r="N10" s="59">
        <v>111</v>
      </c>
      <c r="O10" s="58" t="s">
        <v>187</v>
      </c>
      <c r="P10" s="58">
        <v>43961</v>
      </c>
      <c r="Q10" s="58"/>
      <c r="R10" s="58">
        <v>43967</v>
      </c>
      <c r="S10" s="59">
        <v>123654</v>
      </c>
      <c r="T10" s="60">
        <v>3250</v>
      </c>
      <c r="U10" s="56" t="s">
        <v>188</v>
      </c>
      <c r="V10" s="58">
        <v>43967</v>
      </c>
      <c r="W10" s="58"/>
      <c r="X10" s="51">
        <f>IF(tbControle[ReqC]="","",1/COUNTIF(tbControle[ReqC],tbControle[[#This Row],[ReqC]]))</f>
        <v>6.6666666666666666E-2</v>
      </c>
      <c r="Y10" s="51">
        <f ca="1">IF(OR(tbControle[Qtde ReqC]="",tbControle[Aging '[dias']]=""),"",tbControle[Qtde ReqC]*tbControle[Aging '[dias']])</f>
        <v>1.2</v>
      </c>
      <c r="Z10" s="51" t="str">
        <f>IF(OR(tbControle[[#This Row],[ReqC]]="",tbControle[[#This Row],[Item]]="",tbControle[[#This Row],[Data Transferência]]=""),"",_xlfn.CONCAT(tbControle[[#This Row],[ReqC]],"-",tbControle[[#This Row],[Item]],"-",tbControle[[#This Row],[Data Transferência]]))</f>
        <v>10111213-20-43949</v>
      </c>
      <c r="AA10" s="51">
        <f>IF(tbControle[Item Exclusívo]="","",1/COUNTIF(tbControle[Item Exclusívo],tbControle[[#This Row],[Item Exclusívo]]))</f>
        <v>1</v>
      </c>
      <c r="AB10" s="54">
        <f>IF(tbControle[Data Transferência]="","",MONTH(tbControle[Data Transferência]))</f>
        <v>4</v>
      </c>
      <c r="AC10" s="54">
        <f>IF(tbControle[Data Transferência]="","",YEAR(tbControle[Data Transferência]))</f>
        <v>2020</v>
      </c>
    </row>
    <row r="11" spans="1:29" ht="16.5" x14ac:dyDescent="0.25">
      <c r="A11" s="59">
        <v>10111213</v>
      </c>
      <c r="B11" s="55">
        <f ca="1">IF(tbControle[Data Inicial Comprador]="","",IF(tbControle[Data Final Comprador]="",TODAY()-tbControle[Data Transferência],tbControle[Data Final Comprador]-tbControle[Data Transferência]))</f>
        <v>18</v>
      </c>
      <c r="C11" s="56" t="s">
        <v>70</v>
      </c>
      <c r="D11" s="59">
        <v>30</v>
      </c>
      <c r="E11" s="57">
        <v>178073</v>
      </c>
      <c r="F11" s="57" t="s">
        <v>90</v>
      </c>
      <c r="G11" s="57">
        <v>15</v>
      </c>
      <c r="H11" s="60">
        <v>1041.3</v>
      </c>
      <c r="I11" s="58">
        <v>43949</v>
      </c>
      <c r="J11" s="58">
        <v>43949</v>
      </c>
      <c r="K11" s="58" t="s">
        <v>7</v>
      </c>
      <c r="L11" s="58">
        <v>43967</v>
      </c>
      <c r="M11" s="58">
        <v>43949</v>
      </c>
      <c r="N11" s="59">
        <v>111</v>
      </c>
      <c r="O11" s="58" t="s">
        <v>187</v>
      </c>
      <c r="P11" s="58">
        <v>43961</v>
      </c>
      <c r="Q11" s="58"/>
      <c r="R11" s="58">
        <v>43967</v>
      </c>
      <c r="S11" s="59">
        <v>123654</v>
      </c>
      <c r="T11" s="60">
        <v>1041.3</v>
      </c>
      <c r="U11" s="56" t="s">
        <v>188</v>
      </c>
      <c r="V11" s="58">
        <v>43967</v>
      </c>
      <c r="W11" s="58"/>
      <c r="X11" s="51">
        <f>IF(tbControle[ReqC]="","",1/COUNTIF(tbControle[ReqC],tbControle[[#This Row],[ReqC]]))</f>
        <v>6.6666666666666666E-2</v>
      </c>
      <c r="Y11" s="51">
        <f ca="1">IF(OR(tbControle[Qtde ReqC]="",tbControle[Aging '[dias']]=""),"",tbControle[Qtde ReqC]*tbControle[Aging '[dias']])</f>
        <v>1.2</v>
      </c>
      <c r="Z11" s="51" t="str">
        <f>IF(OR(tbControle[[#This Row],[ReqC]]="",tbControle[[#This Row],[Item]]="",tbControle[[#This Row],[Data Transferência]]=""),"",_xlfn.CONCAT(tbControle[[#This Row],[ReqC]],"-",tbControle[[#This Row],[Item]],"-",tbControle[[#This Row],[Data Transferência]]))</f>
        <v>10111213-30-43949</v>
      </c>
      <c r="AA11" s="51">
        <f>IF(tbControle[Item Exclusívo]="","",1/COUNTIF(tbControle[Item Exclusívo],tbControle[[#This Row],[Item Exclusívo]]))</f>
        <v>1</v>
      </c>
      <c r="AB11" s="54">
        <f>IF(tbControle[Data Transferência]="","",MONTH(tbControle[Data Transferência]))</f>
        <v>4</v>
      </c>
      <c r="AC11" s="54">
        <f>IF(tbControle[Data Transferência]="","",YEAR(tbControle[Data Transferência]))</f>
        <v>2020</v>
      </c>
    </row>
    <row r="12" spans="1:29" ht="16.5" x14ac:dyDescent="0.25">
      <c r="A12" s="59">
        <v>10111213</v>
      </c>
      <c r="B12" s="55">
        <f ca="1">IF(tbControle[Data Inicial Comprador]="","",IF(tbControle[Data Final Comprador]="",TODAY()-tbControle[Data Transferência],tbControle[Data Final Comprador]-tbControle[Data Transferência]))</f>
        <v>18</v>
      </c>
      <c r="C12" s="56" t="s">
        <v>70</v>
      </c>
      <c r="D12" s="59">
        <v>40</v>
      </c>
      <c r="E12" s="57">
        <v>313498</v>
      </c>
      <c r="F12" s="57" t="s">
        <v>91</v>
      </c>
      <c r="G12" s="57">
        <v>5</v>
      </c>
      <c r="H12" s="60">
        <v>582.5</v>
      </c>
      <c r="I12" s="58">
        <v>43949</v>
      </c>
      <c r="J12" s="58">
        <v>43949</v>
      </c>
      <c r="K12" s="58" t="s">
        <v>7</v>
      </c>
      <c r="L12" s="58">
        <v>43967</v>
      </c>
      <c r="M12" s="58">
        <v>43949</v>
      </c>
      <c r="N12" s="59">
        <v>111</v>
      </c>
      <c r="O12" s="58" t="s">
        <v>187</v>
      </c>
      <c r="P12" s="58">
        <v>43961</v>
      </c>
      <c r="Q12" s="58"/>
      <c r="R12" s="58">
        <v>43967</v>
      </c>
      <c r="S12" s="59">
        <v>123654</v>
      </c>
      <c r="T12" s="60">
        <v>582.5</v>
      </c>
      <c r="U12" s="56" t="s">
        <v>188</v>
      </c>
      <c r="V12" s="58">
        <v>43967</v>
      </c>
      <c r="W12" s="58"/>
      <c r="X12" s="51">
        <f>IF(tbControle[ReqC]="","",1/COUNTIF(tbControle[ReqC],tbControle[[#This Row],[ReqC]]))</f>
        <v>6.6666666666666666E-2</v>
      </c>
      <c r="Y12" s="51">
        <f ca="1">IF(OR(tbControle[Qtde ReqC]="",tbControle[Aging '[dias']]=""),"",tbControle[Qtde ReqC]*tbControle[Aging '[dias']])</f>
        <v>1.2</v>
      </c>
      <c r="Z12" s="51" t="str">
        <f>IF(OR(tbControle[[#This Row],[ReqC]]="",tbControle[[#This Row],[Item]]="",tbControle[[#This Row],[Data Transferência]]=""),"",_xlfn.CONCAT(tbControle[[#This Row],[ReqC]],"-",tbControle[[#This Row],[Item]],"-",tbControle[[#This Row],[Data Transferência]]))</f>
        <v>10111213-40-43949</v>
      </c>
      <c r="AA12" s="51">
        <f>IF(tbControle[Item Exclusívo]="","",1/COUNTIF(tbControle[Item Exclusívo],tbControle[[#This Row],[Item Exclusívo]]))</f>
        <v>1</v>
      </c>
      <c r="AB12" s="54">
        <f>IF(tbControle[Data Transferência]="","",MONTH(tbControle[Data Transferência]))</f>
        <v>4</v>
      </c>
      <c r="AC12" s="54">
        <f>IF(tbControle[Data Transferência]="","",YEAR(tbControle[Data Transferência]))</f>
        <v>2020</v>
      </c>
    </row>
    <row r="13" spans="1:29" ht="16.5" x14ac:dyDescent="0.25">
      <c r="A13" s="59">
        <v>10111213</v>
      </c>
      <c r="B13" s="55">
        <f ca="1">IF(tbControle[Data Inicial Comprador]="","",IF(tbControle[Data Final Comprador]="",TODAY()-tbControle[Data Transferência],tbControle[Data Final Comprador]-tbControle[Data Transferência]))</f>
        <v>18</v>
      </c>
      <c r="C13" s="56" t="s">
        <v>70</v>
      </c>
      <c r="D13" s="59">
        <v>50</v>
      </c>
      <c r="E13" s="57">
        <v>170848</v>
      </c>
      <c r="F13" s="57" t="s">
        <v>92</v>
      </c>
      <c r="G13" s="57">
        <v>20</v>
      </c>
      <c r="H13" s="60">
        <v>7000</v>
      </c>
      <c r="I13" s="58">
        <v>43949</v>
      </c>
      <c r="J13" s="58">
        <v>43949</v>
      </c>
      <c r="K13" s="58" t="s">
        <v>7</v>
      </c>
      <c r="L13" s="58">
        <v>43967</v>
      </c>
      <c r="M13" s="58">
        <v>43949</v>
      </c>
      <c r="N13" s="59">
        <v>111</v>
      </c>
      <c r="O13" s="58" t="s">
        <v>187</v>
      </c>
      <c r="P13" s="58">
        <v>43961</v>
      </c>
      <c r="Q13" s="58"/>
      <c r="R13" s="58">
        <v>43967</v>
      </c>
      <c r="S13" s="59">
        <v>123654</v>
      </c>
      <c r="T13" s="60">
        <v>7000</v>
      </c>
      <c r="U13" s="56" t="s">
        <v>188</v>
      </c>
      <c r="V13" s="58">
        <v>43967</v>
      </c>
      <c r="W13" s="58"/>
      <c r="X13" s="51">
        <f>IF(tbControle[ReqC]="","",1/COUNTIF(tbControle[ReqC],tbControle[[#This Row],[ReqC]]))</f>
        <v>6.6666666666666666E-2</v>
      </c>
      <c r="Y13" s="51">
        <f ca="1">IF(OR(tbControle[Qtde ReqC]="",tbControle[Aging '[dias']]=""),"",tbControle[Qtde ReqC]*tbControle[Aging '[dias']])</f>
        <v>1.2</v>
      </c>
      <c r="Z13" s="51" t="str">
        <f>IF(OR(tbControle[[#This Row],[ReqC]]="",tbControle[[#This Row],[Item]]="",tbControle[[#This Row],[Data Transferência]]=""),"",_xlfn.CONCAT(tbControle[[#This Row],[ReqC]],"-",tbControle[[#This Row],[Item]],"-",tbControle[[#This Row],[Data Transferência]]))</f>
        <v>10111213-50-43949</v>
      </c>
      <c r="AA13" s="51">
        <f>IF(tbControle[Item Exclusívo]="","",1/COUNTIF(tbControle[Item Exclusívo],tbControle[[#This Row],[Item Exclusívo]]))</f>
        <v>1</v>
      </c>
      <c r="AB13" s="54">
        <f>IF(tbControle[Data Transferência]="","",MONTH(tbControle[Data Transferência]))</f>
        <v>4</v>
      </c>
      <c r="AC13" s="54">
        <f>IF(tbControle[Data Transferência]="","",YEAR(tbControle[Data Transferência]))</f>
        <v>2020</v>
      </c>
    </row>
    <row r="14" spans="1:29" ht="16.5" x14ac:dyDescent="0.25">
      <c r="A14" s="59">
        <v>10111213</v>
      </c>
      <c r="B14" s="55">
        <f ca="1">IF(tbControle[Data Inicial Comprador]="","",IF(tbControle[Data Final Comprador]="",TODAY()-tbControle[Data Transferência],tbControle[Data Final Comprador]-tbControle[Data Transferência]))</f>
        <v>18</v>
      </c>
      <c r="C14" s="56" t="s">
        <v>70</v>
      </c>
      <c r="D14" s="59">
        <v>60</v>
      </c>
      <c r="E14" s="57">
        <v>161323</v>
      </c>
      <c r="F14" s="57" t="s">
        <v>94</v>
      </c>
      <c r="G14" s="57">
        <v>20</v>
      </c>
      <c r="H14" s="60">
        <v>1590</v>
      </c>
      <c r="I14" s="58">
        <v>43949</v>
      </c>
      <c r="J14" s="58">
        <v>43949</v>
      </c>
      <c r="K14" s="58" t="s">
        <v>7</v>
      </c>
      <c r="L14" s="58">
        <v>43967</v>
      </c>
      <c r="M14" s="58">
        <v>43949</v>
      </c>
      <c r="N14" s="59">
        <v>111</v>
      </c>
      <c r="O14" s="58" t="s">
        <v>187</v>
      </c>
      <c r="P14" s="58">
        <v>43961</v>
      </c>
      <c r="Q14" s="58"/>
      <c r="R14" s="58">
        <v>43967</v>
      </c>
      <c r="S14" s="59">
        <v>123654</v>
      </c>
      <c r="T14" s="60">
        <v>1590</v>
      </c>
      <c r="U14" s="56" t="s">
        <v>188</v>
      </c>
      <c r="V14" s="58">
        <v>43967</v>
      </c>
      <c r="W14" s="58"/>
      <c r="X14" s="51">
        <f>IF(tbControle[ReqC]="","",1/COUNTIF(tbControle[ReqC],tbControle[[#This Row],[ReqC]]))</f>
        <v>6.6666666666666666E-2</v>
      </c>
      <c r="Y14" s="51">
        <f ca="1">IF(OR(tbControle[Qtde ReqC]="",tbControle[Aging '[dias']]=""),"",tbControle[Qtde ReqC]*tbControle[Aging '[dias']])</f>
        <v>1.2</v>
      </c>
      <c r="Z14" s="51" t="str">
        <f>IF(OR(tbControle[[#This Row],[ReqC]]="",tbControle[[#This Row],[Item]]="",tbControle[[#This Row],[Data Transferência]]=""),"",_xlfn.CONCAT(tbControle[[#This Row],[ReqC]],"-",tbControle[[#This Row],[Item]],"-",tbControle[[#This Row],[Data Transferência]]))</f>
        <v>10111213-60-43949</v>
      </c>
      <c r="AA14" s="51">
        <f>IF(tbControle[Item Exclusívo]="","",1/COUNTIF(tbControle[Item Exclusívo],tbControle[[#This Row],[Item Exclusívo]]))</f>
        <v>1</v>
      </c>
      <c r="AB14" s="54">
        <f>IF(tbControle[Data Transferência]="","",MONTH(tbControle[Data Transferência]))</f>
        <v>4</v>
      </c>
      <c r="AC14" s="54">
        <f>IF(tbControle[Data Transferência]="","",YEAR(tbControle[Data Transferência]))</f>
        <v>2020</v>
      </c>
    </row>
    <row r="15" spans="1:29" ht="16.5" x14ac:dyDescent="0.25">
      <c r="A15" s="59">
        <v>10111213</v>
      </c>
      <c r="B15" s="55">
        <f ca="1">IF(tbControle[Data Inicial Comprador]="","",IF(tbControle[Data Final Comprador]="",TODAY()-tbControle[Data Transferência],tbControle[Data Final Comprador]-tbControle[Data Transferência]))</f>
        <v>18</v>
      </c>
      <c r="C15" s="56" t="s">
        <v>70</v>
      </c>
      <c r="D15" s="59">
        <v>70</v>
      </c>
      <c r="E15" s="57">
        <v>161324</v>
      </c>
      <c r="F15" s="57" t="s">
        <v>94</v>
      </c>
      <c r="G15" s="57">
        <v>20</v>
      </c>
      <c r="H15" s="60">
        <v>2277.4</v>
      </c>
      <c r="I15" s="58">
        <v>43949</v>
      </c>
      <c r="J15" s="58">
        <v>43949</v>
      </c>
      <c r="K15" s="58" t="s">
        <v>7</v>
      </c>
      <c r="L15" s="58">
        <v>43967</v>
      </c>
      <c r="M15" s="58">
        <v>43949</v>
      </c>
      <c r="N15" s="59">
        <v>111</v>
      </c>
      <c r="O15" s="58" t="s">
        <v>187</v>
      </c>
      <c r="P15" s="58">
        <v>43961</v>
      </c>
      <c r="Q15" s="58"/>
      <c r="R15" s="58">
        <v>43967</v>
      </c>
      <c r="S15" s="59">
        <v>123654</v>
      </c>
      <c r="T15" s="60">
        <v>2277.4</v>
      </c>
      <c r="U15" s="56" t="s">
        <v>188</v>
      </c>
      <c r="V15" s="58">
        <v>43967</v>
      </c>
      <c r="W15" s="58"/>
      <c r="X15" s="51">
        <f>IF(tbControle[ReqC]="","",1/COUNTIF(tbControle[ReqC],tbControle[[#This Row],[ReqC]]))</f>
        <v>6.6666666666666666E-2</v>
      </c>
      <c r="Y15" s="51">
        <f ca="1">IF(OR(tbControle[Qtde ReqC]="",tbControle[Aging '[dias']]=""),"",tbControle[Qtde ReqC]*tbControle[Aging '[dias']])</f>
        <v>1.2</v>
      </c>
      <c r="Z15" s="51" t="str">
        <f>IF(OR(tbControle[[#This Row],[ReqC]]="",tbControle[[#This Row],[Item]]="",tbControle[[#This Row],[Data Transferência]]=""),"",_xlfn.CONCAT(tbControle[[#This Row],[ReqC]],"-",tbControle[[#This Row],[Item]],"-",tbControle[[#This Row],[Data Transferência]]))</f>
        <v>10111213-70-43949</v>
      </c>
      <c r="AA15" s="51">
        <f>IF(tbControle[Item Exclusívo]="","",1/COUNTIF(tbControle[Item Exclusívo],tbControle[[#This Row],[Item Exclusívo]]))</f>
        <v>1</v>
      </c>
      <c r="AB15" s="54">
        <f>IF(tbControle[Data Transferência]="","",MONTH(tbControle[Data Transferência]))</f>
        <v>4</v>
      </c>
      <c r="AC15" s="54">
        <f>IF(tbControle[Data Transferência]="","",YEAR(tbControle[Data Transferência]))</f>
        <v>2020</v>
      </c>
    </row>
    <row r="16" spans="1:29" ht="16.5" x14ac:dyDescent="0.25">
      <c r="A16" s="59">
        <v>10111213</v>
      </c>
      <c r="B16" s="55">
        <f ca="1">IF(tbControle[Data Inicial Comprador]="","",IF(tbControle[Data Final Comprador]="",TODAY()-tbControle[Data Transferência],tbControle[Data Final Comprador]-tbControle[Data Transferência]))</f>
        <v>18</v>
      </c>
      <c r="C16" s="56" t="s">
        <v>70</v>
      </c>
      <c r="D16" s="59">
        <v>80</v>
      </c>
      <c r="E16" s="57">
        <v>170847</v>
      </c>
      <c r="F16" s="57" t="s">
        <v>95</v>
      </c>
      <c r="G16" s="57">
        <v>25</v>
      </c>
      <c r="H16" s="60">
        <v>188.75</v>
      </c>
      <c r="I16" s="58">
        <v>43949</v>
      </c>
      <c r="J16" s="58">
        <v>43949</v>
      </c>
      <c r="K16" s="58" t="s">
        <v>7</v>
      </c>
      <c r="L16" s="58">
        <v>43967</v>
      </c>
      <c r="M16" s="58">
        <v>43949</v>
      </c>
      <c r="N16" s="59">
        <v>111</v>
      </c>
      <c r="O16" s="58" t="s">
        <v>187</v>
      </c>
      <c r="P16" s="58">
        <v>43961</v>
      </c>
      <c r="Q16" s="58"/>
      <c r="R16" s="58">
        <v>43967</v>
      </c>
      <c r="S16" s="59">
        <v>123654</v>
      </c>
      <c r="T16" s="60">
        <v>188.75</v>
      </c>
      <c r="U16" s="56" t="s">
        <v>188</v>
      </c>
      <c r="V16" s="58">
        <v>43967</v>
      </c>
      <c r="W16" s="58"/>
      <c r="X16" s="51">
        <f>IF(tbControle[ReqC]="","",1/COUNTIF(tbControle[ReqC],tbControle[[#This Row],[ReqC]]))</f>
        <v>6.6666666666666666E-2</v>
      </c>
      <c r="Y16" s="51">
        <f ca="1">IF(OR(tbControle[Qtde ReqC]="",tbControle[Aging '[dias']]=""),"",tbControle[Qtde ReqC]*tbControle[Aging '[dias']])</f>
        <v>1.2</v>
      </c>
      <c r="Z16" s="51" t="str">
        <f>IF(OR(tbControle[[#This Row],[ReqC]]="",tbControle[[#This Row],[Item]]="",tbControle[[#This Row],[Data Transferência]]=""),"",_xlfn.CONCAT(tbControle[[#This Row],[ReqC]],"-",tbControle[[#This Row],[Item]],"-",tbControle[[#This Row],[Data Transferência]]))</f>
        <v>10111213-80-43949</v>
      </c>
      <c r="AA16" s="51">
        <f>IF(tbControle[Item Exclusívo]="","",1/COUNTIF(tbControle[Item Exclusívo],tbControle[[#This Row],[Item Exclusívo]]))</f>
        <v>1</v>
      </c>
      <c r="AB16" s="54">
        <f>IF(tbControle[Data Transferência]="","",MONTH(tbControle[Data Transferência]))</f>
        <v>4</v>
      </c>
      <c r="AC16" s="54">
        <f>IF(tbControle[Data Transferência]="","",YEAR(tbControle[Data Transferência]))</f>
        <v>2020</v>
      </c>
    </row>
    <row r="17" spans="1:29" ht="16.5" x14ac:dyDescent="0.25">
      <c r="A17" s="59">
        <v>10111213</v>
      </c>
      <c r="B17" s="55">
        <f ca="1">IF(tbControle[Data Inicial Comprador]="","",IF(tbControle[Data Final Comprador]="",TODAY()-tbControle[Data Transferência],tbControle[Data Final Comprador]-tbControle[Data Transferência]))</f>
        <v>18</v>
      </c>
      <c r="C17" s="56" t="s">
        <v>70</v>
      </c>
      <c r="D17" s="59">
        <v>90</v>
      </c>
      <c r="E17" s="57">
        <v>170846</v>
      </c>
      <c r="F17" s="57" t="s">
        <v>96</v>
      </c>
      <c r="G17" s="57">
        <v>20</v>
      </c>
      <c r="H17" s="60">
        <v>570</v>
      </c>
      <c r="I17" s="58">
        <v>43949</v>
      </c>
      <c r="J17" s="58">
        <v>43949</v>
      </c>
      <c r="K17" s="58" t="s">
        <v>7</v>
      </c>
      <c r="L17" s="58">
        <v>43967</v>
      </c>
      <c r="M17" s="58">
        <v>43949</v>
      </c>
      <c r="N17" s="59">
        <v>111</v>
      </c>
      <c r="O17" s="58" t="s">
        <v>187</v>
      </c>
      <c r="P17" s="58">
        <v>43961</v>
      </c>
      <c r="Q17" s="58"/>
      <c r="R17" s="58">
        <v>43967</v>
      </c>
      <c r="S17" s="59">
        <v>123654</v>
      </c>
      <c r="T17" s="60">
        <v>570</v>
      </c>
      <c r="U17" s="56" t="s">
        <v>188</v>
      </c>
      <c r="V17" s="58">
        <v>43967</v>
      </c>
      <c r="W17" s="58"/>
      <c r="X17" s="51">
        <f>IF(tbControle[ReqC]="","",1/COUNTIF(tbControle[ReqC],tbControle[[#This Row],[ReqC]]))</f>
        <v>6.6666666666666666E-2</v>
      </c>
      <c r="Y17" s="51">
        <f ca="1">IF(OR(tbControle[Qtde ReqC]="",tbControle[Aging '[dias']]=""),"",tbControle[Qtde ReqC]*tbControle[Aging '[dias']])</f>
        <v>1.2</v>
      </c>
      <c r="Z17" s="51" t="str">
        <f>IF(OR(tbControle[[#This Row],[ReqC]]="",tbControle[[#This Row],[Item]]="",tbControle[[#This Row],[Data Transferência]]=""),"",_xlfn.CONCAT(tbControle[[#This Row],[ReqC]],"-",tbControle[[#This Row],[Item]],"-",tbControle[[#This Row],[Data Transferência]]))</f>
        <v>10111213-90-43949</v>
      </c>
      <c r="AA17" s="51">
        <f>IF(tbControle[Item Exclusívo]="","",1/COUNTIF(tbControle[Item Exclusívo],tbControle[[#This Row],[Item Exclusívo]]))</f>
        <v>1</v>
      </c>
      <c r="AB17" s="54">
        <f>IF(tbControle[Data Transferência]="","",MONTH(tbControle[Data Transferência]))</f>
        <v>4</v>
      </c>
      <c r="AC17" s="54">
        <f>IF(tbControle[Data Transferência]="","",YEAR(tbControle[Data Transferência]))</f>
        <v>2020</v>
      </c>
    </row>
    <row r="18" spans="1:29" ht="16.5" x14ac:dyDescent="0.25">
      <c r="A18" s="59">
        <v>10111213</v>
      </c>
      <c r="B18" s="55">
        <f ca="1">IF(tbControle[Data Inicial Comprador]="","",IF(tbControle[Data Final Comprador]="",TODAY()-tbControle[Data Transferência],tbControle[Data Final Comprador]-tbControle[Data Transferência]))</f>
        <v>18</v>
      </c>
      <c r="C18" s="56" t="s">
        <v>70</v>
      </c>
      <c r="D18" s="59">
        <v>100</v>
      </c>
      <c r="E18" s="57">
        <v>302094</v>
      </c>
      <c r="F18" s="57" t="s">
        <v>97</v>
      </c>
      <c r="G18" s="57">
        <v>100</v>
      </c>
      <c r="H18" s="60">
        <v>400</v>
      </c>
      <c r="I18" s="58">
        <v>43949</v>
      </c>
      <c r="J18" s="58">
        <v>43949</v>
      </c>
      <c r="K18" s="58" t="s">
        <v>7</v>
      </c>
      <c r="L18" s="58">
        <v>43967</v>
      </c>
      <c r="M18" s="58">
        <v>43949</v>
      </c>
      <c r="N18" s="59">
        <v>111</v>
      </c>
      <c r="O18" s="58" t="s">
        <v>187</v>
      </c>
      <c r="P18" s="58">
        <v>43961</v>
      </c>
      <c r="Q18" s="58"/>
      <c r="R18" s="58">
        <v>43967</v>
      </c>
      <c r="S18" s="59">
        <v>123654</v>
      </c>
      <c r="T18" s="60">
        <v>400</v>
      </c>
      <c r="U18" s="56" t="s">
        <v>188</v>
      </c>
      <c r="V18" s="58">
        <v>43967</v>
      </c>
      <c r="W18" s="58"/>
      <c r="X18" s="51">
        <f>IF(tbControle[ReqC]="","",1/COUNTIF(tbControle[ReqC],tbControle[[#This Row],[ReqC]]))</f>
        <v>6.6666666666666666E-2</v>
      </c>
      <c r="Y18" s="51">
        <f ca="1">IF(OR(tbControle[Qtde ReqC]="",tbControle[Aging '[dias']]=""),"",tbControle[Qtde ReqC]*tbControle[Aging '[dias']])</f>
        <v>1.2</v>
      </c>
      <c r="Z18" s="51" t="str">
        <f>IF(OR(tbControle[[#This Row],[ReqC]]="",tbControle[[#This Row],[Item]]="",tbControle[[#This Row],[Data Transferência]]=""),"",_xlfn.CONCAT(tbControle[[#This Row],[ReqC]],"-",tbControle[[#This Row],[Item]],"-",tbControle[[#This Row],[Data Transferência]]))</f>
        <v>10111213-100-43949</v>
      </c>
      <c r="AA18" s="51">
        <f>IF(tbControle[Item Exclusívo]="","",1/COUNTIF(tbControle[Item Exclusívo],tbControle[[#This Row],[Item Exclusívo]]))</f>
        <v>1</v>
      </c>
      <c r="AB18" s="54">
        <f>IF(tbControle[Data Transferência]="","",MONTH(tbControle[Data Transferência]))</f>
        <v>4</v>
      </c>
      <c r="AC18" s="54">
        <f>IF(tbControle[Data Transferência]="","",YEAR(tbControle[Data Transferência]))</f>
        <v>2020</v>
      </c>
    </row>
    <row r="19" spans="1:29" ht="16.5" x14ac:dyDescent="0.25">
      <c r="A19" s="59">
        <v>10111213</v>
      </c>
      <c r="B19" s="55">
        <f ca="1">IF(tbControle[Data Inicial Comprador]="","",IF(tbControle[Data Final Comprador]="",TODAY()-tbControle[Data Transferência],tbControle[Data Final Comprador]-tbControle[Data Transferência]))</f>
        <v>18</v>
      </c>
      <c r="C19" s="56" t="s">
        <v>70</v>
      </c>
      <c r="D19" s="59">
        <v>110</v>
      </c>
      <c r="E19" s="57">
        <v>170924</v>
      </c>
      <c r="F19" s="57" t="s">
        <v>98</v>
      </c>
      <c r="G19" s="57">
        <v>20</v>
      </c>
      <c r="H19" s="60">
        <v>213.8</v>
      </c>
      <c r="I19" s="58">
        <v>43949</v>
      </c>
      <c r="J19" s="58">
        <v>43949</v>
      </c>
      <c r="K19" s="58" t="s">
        <v>7</v>
      </c>
      <c r="L19" s="58">
        <v>43967</v>
      </c>
      <c r="M19" s="58">
        <v>43949</v>
      </c>
      <c r="N19" s="59">
        <v>111</v>
      </c>
      <c r="O19" s="58" t="s">
        <v>187</v>
      </c>
      <c r="P19" s="58">
        <v>43961</v>
      </c>
      <c r="Q19" s="58"/>
      <c r="R19" s="58">
        <v>43967</v>
      </c>
      <c r="S19" s="59">
        <v>123654</v>
      </c>
      <c r="T19" s="60">
        <v>213.8</v>
      </c>
      <c r="U19" s="56" t="s">
        <v>188</v>
      </c>
      <c r="V19" s="58">
        <v>43967</v>
      </c>
      <c r="W19" s="58"/>
      <c r="X19" s="51">
        <f>IF(tbControle[ReqC]="","",1/COUNTIF(tbControle[ReqC],tbControle[[#This Row],[ReqC]]))</f>
        <v>6.6666666666666666E-2</v>
      </c>
      <c r="Y19" s="51">
        <f ca="1">IF(OR(tbControle[Qtde ReqC]="",tbControle[Aging '[dias']]=""),"",tbControle[Qtde ReqC]*tbControle[Aging '[dias']])</f>
        <v>1.2</v>
      </c>
      <c r="Z19" s="51" t="str">
        <f>IF(OR(tbControle[[#This Row],[ReqC]]="",tbControle[[#This Row],[Item]]="",tbControle[[#This Row],[Data Transferência]]=""),"",_xlfn.CONCAT(tbControle[[#This Row],[ReqC]],"-",tbControle[[#This Row],[Item]],"-",tbControle[[#This Row],[Data Transferência]]))</f>
        <v>10111213-110-43949</v>
      </c>
      <c r="AA19" s="51">
        <f>IF(tbControle[Item Exclusívo]="","",1/COUNTIF(tbControle[Item Exclusívo],tbControle[[#This Row],[Item Exclusívo]]))</f>
        <v>1</v>
      </c>
      <c r="AB19" s="54">
        <f>IF(tbControle[Data Transferência]="","",MONTH(tbControle[Data Transferência]))</f>
        <v>4</v>
      </c>
      <c r="AC19" s="54">
        <f>IF(tbControle[Data Transferência]="","",YEAR(tbControle[Data Transferência]))</f>
        <v>2020</v>
      </c>
    </row>
    <row r="20" spans="1:29" ht="16.5" x14ac:dyDescent="0.25">
      <c r="A20" s="59">
        <v>10111213</v>
      </c>
      <c r="B20" s="55">
        <f ca="1">IF(tbControle[Data Inicial Comprador]="","",IF(tbControle[Data Final Comprador]="",TODAY()-tbControle[Data Transferência],tbControle[Data Final Comprador]-tbControle[Data Transferência]))</f>
        <v>18</v>
      </c>
      <c r="C20" s="56" t="s">
        <v>70</v>
      </c>
      <c r="D20" s="59">
        <v>120</v>
      </c>
      <c r="E20" s="57">
        <v>220878</v>
      </c>
      <c r="F20" s="57" t="s">
        <v>99</v>
      </c>
      <c r="G20" s="57">
        <v>10</v>
      </c>
      <c r="H20" s="60">
        <v>70</v>
      </c>
      <c r="I20" s="58">
        <v>43949</v>
      </c>
      <c r="J20" s="58">
        <v>43949</v>
      </c>
      <c r="K20" s="58" t="s">
        <v>7</v>
      </c>
      <c r="L20" s="58">
        <v>43967</v>
      </c>
      <c r="M20" s="58">
        <v>43949</v>
      </c>
      <c r="N20" s="59">
        <v>111</v>
      </c>
      <c r="O20" s="58" t="s">
        <v>187</v>
      </c>
      <c r="P20" s="58">
        <v>43961</v>
      </c>
      <c r="Q20" s="58"/>
      <c r="R20" s="58">
        <v>43967</v>
      </c>
      <c r="S20" s="59">
        <v>123654</v>
      </c>
      <c r="T20" s="60">
        <v>70</v>
      </c>
      <c r="U20" s="56" t="s">
        <v>188</v>
      </c>
      <c r="V20" s="58">
        <v>43967</v>
      </c>
      <c r="W20" s="58"/>
      <c r="X20" s="51">
        <f>IF(tbControle[ReqC]="","",1/COUNTIF(tbControle[ReqC],tbControle[[#This Row],[ReqC]]))</f>
        <v>6.6666666666666666E-2</v>
      </c>
      <c r="Y20" s="51">
        <f ca="1">IF(OR(tbControle[Qtde ReqC]="",tbControle[Aging '[dias']]=""),"",tbControle[Qtde ReqC]*tbControle[Aging '[dias']])</f>
        <v>1.2</v>
      </c>
      <c r="Z20" s="51" t="str">
        <f>IF(OR(tbControle[[#This Row],[ReqC]]="",tbControle[[#This Row],[Item]]="",tbControle[[#This Row],[Data Transferência]]=""),"",_xlfn.CONCAT(tbControle[[#This Row],[ReqC]],"-",tbControle[[#This Row],[Item]],"-",tbControle[[#This Row],[Data Transferência]]))</f>
        <v>10111213-120-43949</v>
      </c>
      <c r="AA20" s="51">
        <f>IF(tbControle[Item Exclusívo]="","",1/COUNTIF(tbControle[Item Exclusívo],tbControle[[#This Row],[Item Exclusívo]]))</f>
        <v>1</v>
      </c>
      <c r="AB20" s="54">
        <f>IF(tbControle[Data Transferência]="","",MONTH(tbControle[Data Transferência]))</f>
        <v>4</v>
      </c>
      <c r="AC20" s="54">
        <f>IF(tbControle[Data Transferência]="","",YEAR(tbControle[Data Transferência]))</f>
        <v>2020</v>
      </c>
    </row>
    <row r="21" spans="1:29" ht="16.5" x14ac:dyDescent="0.25">
      <c r="A21" s="59">
        <v>10111213</v>
      </c>
      <c r="B21" s="55">
        <f ca="1">IF(tbControle[Data Inicial Comprador]="","",IF(tbControle[Data Final Comprador]="",TODAY()-tbControle[Data Transferência],tbControle[Data Final Comprador]-tbControle[Data Transferência]))</f>
        <v>18</v>
      </c>
      <c r="C21" s="56" t="s">
        <v>70</v>
      </c>
      <c r="D21" s="59">
        <v>130</v>
      </c>
      <c r="E21" s="57">
        <v>221022</v>
      </c>
      <c r="F21" s="57" t="s">
        <v>100</v>
      </c>
      <c r="G21" s="57">
        <v>10</v>
      </c>
      <c r="H21" s="60">
        <v>60</v>
      </c>
      <c r="I21" s="58">
        <v>43949</v>
      </c>
      <c r="J21" s="58">
        <v>43949</v>
      </c>
      <c r="K21" s="58" t="s">
        <v>7</v>
      </c>
      <c r="L21" s="58">
        <v>43967</v>
      </c>
      <c r="M21" s="58">
        <v>43949</v>
      </c>
      <c r="N21" s="59">
        <v>111</v>
      </c>
      <c r="O21" s="58" t="s">
        <v>187</v>
      </c>
      <c r="P21" s="58">
        <v>43961</v>
      </c>
      <c r="Q21" s="58"/>
      <c r="R21" s="58">
        <v>43967</v>
      </c>
      <c r="S21" s="59">
        <v>123654</v>
      </c>
      <c r="T21" s="60">
        <v>60</v>
      </c>
      <c r="U21" s="56" t="s">
        <v>188</v>
      </c>
      <c r="V21" s="58">
        <v>43967</v>
      </c>
      <c r="W21" s="58"/>
      <c r="X21" s="51">
        <f>IF(tbControle[ReqC]="","",1/COUNTIF(tbControle[ReqC],tbControle[[#This Row],[ReqC]]))</f>
        <v>6.6666666666666666E-2</v>
      </c>
      <c r="Y21" s="51">
        <f ca="1">IF(OR(tbControle[Qtde ReqC]="",tbControle[Aging '[dias']]=""),"",tbControle[Qtde ReqC]*tbControle[Aging '[dias']])</f>
        <v>1.2</v>
      </c>
      <c r="Z21" s="51" t="str">
        <f>IF(OR(tbControle[[#This Row],[ReqC]]="",tbControle[[#This Row],[Item]]="",tbControle[[#This Row],[Data Transferência]]=""),"",_xlfn.CONCAT(tbControle[[#This Row],[ReqC]],"-",tbControle[[#This Row],[Item]],"-",tbControle[[#This Row],[Data Transferência]]))</f>
        <v>10111213-130-43949</v>
      </c>
      <c r="AA21" s="51">
        <f>IF(tbControle[Item Exclusívo]="","",1/COUNTIF(tbControle[Item Exclusívo],tbControle[[#This Row],[Item Exclusívo]]))</f>
        <v>1</v>
      </c>
      <c r="AB21" s="54">
        <f>IF(tbControle[Data Transferência]="","",MONTH(tbControle[Data Transferência]))</f>
        <v>4</v>
      </c>
      <c r="AC21" s="54">
        <f>IF(tbControle[Data Transferência]="","",YEAR(tbControle[Data Transferência]))</f>
        <v>2020</v>
      </c>
    </row>
    <row r="22" spans="1:29" ht="16.5" x14ac:dyDescent="0.25">
      <c r="A22" s="59">
        <v>10111213</v>
      </c>
      <c r="B22" s="55">
        <f ca="1">IF(tbControle[Data Inicial Comprador]="","",IF(tbControle[Data Final Comprador]="",TODAY()-tbControle[Data Transferência],tbControle[Data Final Comprador]-tbControle[Data Transferência]))</f>
        <v>18</v>
      </c>
      <c r="C22" s="56" t="s">
        <v>70</v>
      </c>
      <c r="D22" s="59">
        <v>140</v>
      </c>
      <c r="E22" s="57">
        <v>276711</v>
      </c>
      <c r="F22" s="57" t="s">
        <v>101</v>
      </c>
      <c r="G22" s="57">
        <v>2</v>
      </c>
      <c r="H22" s="60">
        <v>1600</v>
      </c>
      <c r="I22" s="58">
        <v>43949</v>
      </c>
      <c r="J22" s="58">
        <v>43949</v>
      </c>
      <c r="K22" s="58" t="s">
        <v>7</v>
      </c>
      <c r="L22" s="58">
        <v>43967</v>
      </c>
      <c r="M22" s="58">
        <v>43949</v>
      </c>
      <c r="N22" s="59">
        <v>111</v>
      </c>
      <c r="O22" s="58" t="s">
        <v>187</v>
      </c>
      <c r="P22" s="58">
        <v>43961</v>
      </c>
      <c r="Q22" s="58"/>
      <c r="R22" s="58">
        <v>43967</v>
      </c>
      <c r="S22" s="59">
        <v>123654</v>
      </c>
      <c r="T22" s="60">
        <v>1600</v>
      </c>
      <c r="U22" s="56" t="s">
        <v>188</v>
      </c>
      <c r="V22" s="58">
        <v>43967</v>
      </c>
      <c r="W22" s="58"/>
      <c r="X22" s="51">
        <f>IF(tbControle[ReqC]="","",1/COUNTIF(tbControle[ReqC],tbControle[[#This Row],[ReqC]]))</f>
        <v>6.6666666666666666E-2</v>
      </c>
      <c r="Y22" s="51">
        <f ca="1">IF(OR(tbControle[Qtde ReqC]="",tbControle[Aging '[dias']]=""),"",tbControle[Qtde ReqC]*tbControle[Aging '[dias']])</f>
        <v>1.2</v>
      </c>
      <c r="Z22" s="51" t="str">
        <f>IF(OR(tbControle[[#This Row],[ReqC]]="",tbControle[[#This Row],[Item]]="",tbControle[[#This Row],[Data Transferência]]=""),"",_xlfn.CONCAT(tbControle[[#This Row],[ReqC]],"-",tbControle[[#This Row],[Item]],"-",tbControle[[#This Row],[Data Transferência]]))</f>
        <v>10111213-140-43949</v>
      </c>
      <c r="AA22" s="51">
        <f>IF(tbControle[Item Exclusívo]="","",1/COUNTIF(tbControle[Item Exclusívo],tbControle[[#This Row],[Item Exclusívo]]))</f>
        <v>1</v>
      </c>
      <c r="AB22" s="54">
        <f>IF(tbControle[Data Transferência]="","",MONTH(tbControle[Data Transferência]))</f>
        <v>4</v>
      </c>
      <c r="AC22" s="54">
        <f>IF(tbControle[Data Transferência]="","",YEAR(tbControle[Data Transferência]))</f>
        <v>2020</v>
      </c>
    </row>
    <row r="23" spans="1:29" ht="16.5" x14ac:dyDescent="0.25">
      <c r="A23" s="59">
        <v>10111213</v>
      </c>
      <c r="B23" s="55">
        <f ca="1">IF(tbControle[Data Inicial Comprador]="","",IF(tbControle[Data Final Comprador]="",TODAY()-tbControle[Data Transferência],tbControle[Data Final Comprador]-tbControle[Data Transferência]))</f>
        <v>18</v>
      </c>
      <c r="C23" s="56" t="s">
        <v>70</v>
      </c>
      <c r="D23" s="59">
        <v>150</v>
      </c>
      <c r="E23" s="57">
        <v>175772</v>
      </c>
      <c r="F23" s="57" t="s">
        <v>102</v>
      </c>
      <c r="G23" s="57">
        <v>5</v>
      </c>
      <c r="H23" s="60">
        <v>550</v>
      </c>
      <c r="I23" s="58">
        <v>43949</v>
      </c>
      <c r="J23" s="58">
        <v>43949</v>
      </c>
      <c r="K23" s="58" t="s">
        <v>7</v>
      </c>
      <c r="L23" s="58">
        <v>43967</v>
      </c>
      <c r="M23" s="58">
        <v>43949</v>
      </c>
      <c r="N23" s="59">
        <v>111</v>
      </c>
      <c r="O23" s="58" t="s">
        <v>187</v>
      </c>
      <c r="P23" s="58">
        <v>43961</v>
      </c>
      <c r="Q23" s="58"/>
      <c r="R23" s="58">
        <v>43967</v>
      </c>
      <c r="S23" s="59">
        <v>123654</v>
      </c>
      <c r="T23" s="60">
        <v>550</v>
      </c>
      <c r="U23" s="56" t="s">
        <v>188</v>
      </c>
      <c r="V23" s="58">
        <v>43967</v>
      </c>
      <c r="W23" s="58"/>
      <c r="X23" s="51">
        <f>IF(tbControle[ReqC]="","",1/COUNTIF(tbControle[ReqC],tbControle[[#This Row],[ReqC]]))</f>
        <v>6.6666666666666666E-2</v>
      </c>
      <c r="Y23" s="51">
        <f ca="1">IF(OR(tbControle[Qtde ReqC]="",tbControle[Aging '[dias']]=""),"",tbControle[Qtde ReqC]*tbControle[Aging '[dias']])</f>
        <v>1.2</v>
      </c>
      <c r="Z23" s="51" t="str">
        <f>IF(OR(tbControle[[#This Row],[ReqC]]="",tbControle[[#This Row],[Item]]="",tbControle[[#This Row],[Data Transferência]]=""),"",_xlfn.CONCAT(tbControle[[#This Row],[ReqC]],"-",tbControle[[#This Row],[Item]],"-",tbControle[[#This Row],[Data Transferência]]))</f>
        <v>10111213-150-43949</v>
      </c>
      <c r="AA23" s="51">
        <f>IF(tbControle[Item Exclusívo]="","",1/COUNTIF(tbControle[Item Exclusívo],tbControle[[#This Row],[Item Exclusívo]]))</f>
        <v>1</v>
      </c>
      <c r="AB23" s="54">
        <f>IF(tbControle[Data Transferência]="","",MONTH(tbControle[Data Transferência]))</f>
        <v>4</v>
      </c>
      <c r="AC23" s="54">
        <f>IF(tbControle[Data Transferência]="","",YEAR(tbControle[Data Transferência]))</f>
        <v>2020</v>
      </c>
    </row>
    <row r="24" spans="1:29" ht="16.5" x14ac:dyDescent="0.25">
      <c r="A24" s="59">
        <v>10111214</v>
      </c>
      <c r="B24" s="55">
        <f ca="1">IF(tbControle[Data Inicial Comprador]="","",IF(tbControle[Data Final Comprador]="",TODAY()-tbControle[Data Transferência],tbControle[Data Final Comprador]-tbControle[Data Transferência]))</f>
        <v>90</v>
      </c>
      <c r="C24" s="56" t="s">
        <v>72</v>
      </c>
      <c r="D24" s="59">
        <v>10</v>
      </c>
      <c r="E24" s="57">
        <v>528697</v>
      </c>
      <c r="F24" s="57" t="s">
        <v>103</v>
      </c>
      <c r="G24" s="57">
        <v>1</v>
      </c>
      <c r="H24" s="60">
        <v>947</v>
      </c>
      <c r="I24" s="58">
        <v>43950</v>
      </c>
      <c r="J24" s="58">
        <v>43950</v>
      </c>
      <c r="K24" s="58" t="s">
        <v>11</v>
      </c>
      <c r="L24" s="58"/>
      <c r="M24" s="58"/>
      <c r="N24" s="59"/>
      <c r="O24" s="58"/>
      <c r="P24" s="58"/>
      <c r="Q24" s="58"/>
      <c r="R24" s="58"/>
      <c r="S24" s="59"/>
      <c r="T24" s="60"/>
      <c r="U24" s="56"/>
      <c r="V24" s="58"/>
      <c r="W24" s="58"/>
      <c r="X24" s="51">
        <f>IF(tbControle[ReqC]="","",1/COUNTIF(tbControle[ReqC],tbControle[[#This Row],[ReqC]]))</f>
        <v>1</v>
      </c>
      <c r="Y24" s="51">
        <f ca="1">IF(OR(tbControle[Qtde ReqC]="",tbControle[Aging '[dias']]=""),"",tbControle[Qtde ReqC]*tbControle[Aging '[dias']])</f>
        <v>90</v>
      </c>
      <c r="Z24" s="51" t="str">
        <f>IF(OR(tbControle[[#This Row],[ReqC]]="",tbControle[[#This Row],[Item]]="",tbControle[[#This Row],[Data Transferência]]=""),"",_xlfn.CONCAT(tbControle[[#This Row],[ReqC]],"-",tbControle[[#This Row],[Item]],"-",tbControle[[#This Row],[Data Transferência]]))</f>
        <v>10111214-10-43950</v>
      </c>
      <c r="AA24" s="51">
        <f>IF(tbControle[Item Exclusívo]="","",1/COUNTIF(tbControle[Item Exclusívo],tbControle[[#This Row],[Item Exclusívo]]))</f>
        <v>1</v>
      </c>
      <c r="AB24" s="54">
        <f>IF(tbControle[Data Transferência]="","",MONTH(tbControle[Data Transferência]))</f>
        <v>4</v>
      </c>
      <c r="AC24" s="54">
        <f>IF(tbControle[Data Transferência]="","",YEAR(tbControle[Data Transferência]))</f>
        <v>2020</v>
      </c>
    </row>
    <row r="25" spans="1:29" ht="16.5" x14ac:dyDescent="0.25">
      <c r="A25" s="59">
        <v>10111215</v>
      </c>
      <c r="B25" s="55">
        <f ca="1">IF(tbControle[Data Inicial Comprador]="","",IF(tbControle[Data Final Comprador]="",TODAY()-tbControle[Data Transferência],tbControle[Data Final Comprador]-tbControle[Data Transferência]))</f>
        <v>2</v>
      </c>
      <c r="C25" s="56" t="s">
        <v>71</v>
      </c>
      <c r="D25" s="59">
        <v>20</v>
      </c>
      <c r="E25" s="57">
        <v>466078</v>
      </c>
      <c r="F25" s="57" t="s">
        <v>104</v>
      </c>
      <c r="G25" s="57">
        <v>1</v>
      </c>
      <c r="H25" s="60">
        <v>5.85</v>
      </c>
      <c r="I25" s="58">
        <v>43957</v>
      </c>
      <c r="J25" s="58">
        <v>43957</v>
      </c>
      <c r="K25" s="58" t="s">
        <v>7</v>
      </c>
      <c r="L25" s="58">
        <v>43959</v>
      </c>
      <c r="M25" s="58">
        <v>43959</v>
      </c>
      <c r="N25" s="59">
        <v>149</v>
      </c>
      <c r="O25" s="58" t="s">
        <v>187</v>
      </c>
      <c r="P25" s="58">
        <v>43957</v>
      </c>
      <c r="Q25" s="58"/>
      <c r="R25" s="58">
        <v>43958</v>
      </c>
      <c r="S25" s="59">
        <v>654123</v>
      </c>
      <c r="T25" s="60">
        <v>5.85</v>
      </c>
      <c r="U25" s="56" t="s">
        <v>188</v>
      </c>
      <c r="V25" s="58">
        <v>43959</v>
      </c>
      <c r="W25" s="58"/>
      <c r="X25" s="51">
        <f>IF(tbControle[ReqC]="","",1/COUNTIF(tbControle[ReqC],tbControle[[#This Row],[ReqC]]))</f>
        <v>1</v>
      </c>
      <c r="Y25" s="51">
        <f ca="1">IF(OR(tbControle[Qtde ReqC]="",tbControle[Aging '[dias']]=""),"",tbControle[Qtde ReqC]*tbControle[Aging '[dias']])</f>
        <v>2</v>
      </c>
      <c r="Z25" s="51" t="str">
        <f>IF(OR(tbControle[[#This Row],[ReqC]]="",tbControle[[#This Row],[Item]]="",tbControle[[#This Row],[Data Transferência]]=""),"",_xlfn.CONCAT(tbControle[[#This Row],[ReqC]],"-",tbControle[[#This Row],[Item]],"-",tbControle[[#This Row],[Data Transferência]]))</f>
        <v>10111215-20-43957</v>
      </c>
      <c r="AA25" s="51">
        <f>IF(tbControle[Item Exclusívo]="","",1/COUNTIF(tbControle[Item Exclusívo],tbControle[[#This Row],[Item Exclusívo]]))</f>
        <v>1</v>
      </c>
      <c r="AB25" s="54">
        <f>IF(tbControle[Data Transferência]="","",MONTH(tbControle[Data Transferência]))</f>
        <v>5</v>
      </c>
      <c r="AC25" s="54">
        <f>IF(tbControle[Data Transferência]="","",YEAR(tbControle[Data Transferência]))</f>
        <v>2020</v>
      </c>
    </row>
    <row r="26" spans="1:29" ht="16.5" x14ac:dyDescent="0.25">
      <c r="A26" s="59">
        <v>10111216</v>
      </c>
      <c r="B26" s="55">
        <f ca="1">IF(tbControle[Data Inicial Comprador]="","",IF(tbControle[Data Final Comprador]="",TODAY()-tbControle[Data Transferência],tbControle[Data Final Comprador]-tbControle[Data Transferência]))</f>
        <v>83</v>
      </c>
      <c r="C26" s="56" t="s">
        <v>69</v>
      </c>
      <c r="D26" s="59">
        <v>10</v>
      </c>
      <c r="E26" s="57">
        <v>391600</v>
      </c>
      <c r="F26" s="57" t="s">
        <v>105</v>
      </c>
      <c r="G26" s="57">
        <v>1</v>
      </c>
      <c r="H26" s="60">
        <v>4616.13</v>
      </c>
      <c r="I26" s="58">
        <v>43957</v>
      </c>
      <c r="J26" s="58">
        <v>43957</v>
      </c>
      <c r="K26" s="58" t="s">
        <v>8</v>
      </c>
      <c r="L26" s="58"/>
      <c r="M26" s="58">
        <v>43969</v>
      </c>
      <c r="N26" s="59">
        <v>102</v>
      </c>
      <c r="O26" s="58" t="s">
        <v>192</v>
      </c>
      <c r="P26" s="58">
        <v>43972</v>
      </c>
      <c r="Q26" s="58"/>
      <c r="R26" s="58"/>
      <c r="S26" s="59"/>
      <c r="T26" s="60"/>
      <c r="U26" s="56"/>
      <c r="V26" s="58"/>
      <c r="W26" s="58"/>
      <c r="X26" s="51">
        <f>IF(tbControle[ReqC]="","",1/COUNTIF(tbControle[ReqC],tbControle[[#This Row],[ReqC]]))</f>
        <v>0.33333333333333331</v>
      </c>
      <c r="Y26" s="51">
        <f ca="1">IF(OR(tbControle[Qtde ReqC]="",tbControle[Aging '[dias']]=""),"",tbControle[Qtde ReqC]*tbControle[Aging '[dias']])</f>
        <v>27.666666666666664</v>
      </c>
      <c r="Z26" s="51" t="str">
        <f>IF(OR(tbControle[[#This Row],[ReqC]]="",tbControle[[#This Row],[Item]]="",tbControle[[#This Row],[Data Transferência]]=""),"",_xlfn.CONCAT(tbControle[[#This Row],[ReqC]],"-",tbControle[[#This Row],[Item]],"-",tbControle[[#This Row],[Data Transferência]]))</f>
        <v>10111216-10-43957</v>
      </c>
      <c r="AA26" s="51">
        <f>IF(tbControle[Item Exclusívo]="","",1/COUNTIF(tbControle[Item Exclusívo],tbControle[[#This Row],[Item Exclusívo]]))</f>
        <v>1</v>
      </c>
      <c r="AB26" s="54">
        <f>IF(tbControle[Data Transferência]="","",MONTH(tbControle[Data Transferência]))</f>
        <v>5</v>
      </c>
      <c r="AC26" s="54">
        <f>IF(tbControle[Data Transferência]="","",YEAR(tbControle[Data Transferência]))</f>
        <v>2020</v>
      </c>
    </row>
    <row r="27" spans="1:29" ht="16.5" x14ac:dyDescent="0.25">
      <c r="A27" s="59">
        <v>10111216</v>
      </c>
      <c r="B27" s="55">
        <f ca="1">IF(tbControle[Data Inicial Comprador]="","",IF(tbControle[Data Final Comprador]="",TODAY()-tbControle[Data Transferência],tbControle[Data Final Comprador]-tbControle[Data Transferência]))</f>
        <v>83</v>
      </c>
      <c r="C27" s="56" t="s">
        <v>69</v>
      </c>
      <c r="D27" s="59">
        <v>20</v>
      </c>
      <c r="E27" s="57">
        <v>391601</v>
      </c>
      <c r="F27" s="57" t="s">
        <v>106</v>
      </c>
      <c r="G27" s="57">
        <v>1</v>
      </c>
      <c r="H27" s="60">
        <v>2348</v>
      </c>
      <c r="I27" s="58">
        <v>43957</v>
      </c>
      <c r="J27" s="58">
        <v>43957</v>
      </c>
      <c r="K27" s="58" t="s">
        <v>8</v>
      </c>
      <c r="L27" s="58"/>
      <c r="M27" s="58">
        <v>43969</v>
      </c>
      <c r="N27" s="59">
        <v>102</v>
      </c>
      <c r="O27" s="58" t="s">
        <v>192</v>
      </c>
      <c r="P27" s="58">
        <v>43972</v>
      </c>
      <c r="Q27" s="58"/>
      <c r="R27" s="58"/>
      <c r="S27" s="59"/>
      <c r="T27" s="60"/>
      <c r="U27" s="56"/>
      <c r="V27" s="58"/>
      <c r="W27" s="58"/>
      <c r="X27" s="51">
        <f>IF(tbControle[ReqC]="","",1/COUNTIF(tbControle[ReqC],tbControle[[#This Row],[ReqC]]))</f>
        <v>0.33333333333333331</v>
      </c>
      <c r="Y27" s="51">
        <f ca="1">IF(OR(tbControle[Qtde ReqC]="",tbControle[Aging '[dias']]=""),"",tbControle[Qtde ReqC]*tbControle[Aging '[dias']])</f>
        <v>27.666666666666664</v>
      </c>
      <c r="Z27" s="51" t="str">
        <f>IF(OR(tbControle[[#This Row],[ReqC]]="",tbControle[[#This Row],[Item]]="",tbControle[[#This Row],[Data Transferência]]=""),"",_xlfn.CONCAT(tbControle[[#This Row],[ReqC]],"-",tbControle[[#This Row],[Item]],"-",tbControle[[#This Row],[Data Transferência]]))</f>
        <v>10111216-20-43957</v>
      </c>
      <c r="AA27" s="51">
        <f>IF(tbControle[Item Exclusívo]="","",1/COUNTIF(tbControle[Item Exclusívo],tbControle[[#This Row],[Item Exclusívo]]))</f>
        <v>1</v>
      </c>
      <c r="AB27" s="54">
        <f>IF(tbControle[Data Transferência]="","",MONTH(tbControle[Data Transferência]))</f>
        <v>5</v>
      </c>
      <c r="AC27" s="54">
        <f>IF(tbControle[Data Transferência]="","",YEAR(tbControle[Data Transferência]))</f>
        <v>2020</v>
      </c>
    </row>
    <row r="28" spans="1:29" ht="16.5" x14ac:dyDescent="0.25">
      <c r="A28" s="59">
        <v>10111216</v>
      </c>
      <c r="B28" s="55">
        <f ca="1">IF(tbControle[Data Inicial Comprador]="","",IF(tbControle[Data Final Comprador]="",TODAY()-tbControle[Data Transferência],tbControle[Data Final Comprador]-tbControle[Data Transferência]))</f>
        <v>83</v>
      </c>
      <c r="C28" s="56" t="s">
        <v>69</v>
      </c>
      <c r="D28" s="59">
        <v>30</v>
      </c>
      <c r="E28" s="57">
        <v>391599</v>
      </c>
      <c r="F28" s="57" t="s">
        <v>107</v>
      </c>
      <c r="G28" s="57">
        <v>1</v>
      </c>
      <c r="H28" s="60">
        <v>9061.6299999999992</v>
      </c>
      <c r="I28" s="58">
        <v>43957</v>
      </c>
      <c r="J28" s="58">
        <v>43957</v>
      </c>
      <c r="K28" s="58" t="s">
        <v>8</v>
      </c>
      <c r="L28" s="58"/>
      <c r="M28" s="58">
        <v>43969</v>
      </c>
      <c r="N28" s="59">
        <v>102</v>
      </c>
      <c r="O28" s="58" t="s">
        <v>192</v>
      </c>
      <c r="P28" s="58">
        <v>43972</v>
      </c>
      <c r="Q28" s="58"/>
      <c r="R28" s="58"/>
      <c r="S28" s="59"/>
      <c r="T28" s="60"/>
      <c r="U28" s="56"/>
      <c r="V28" s="58"/>
      <c r="W28" s="58"/>
      <c r="X28" s="51">
        <f>IF(tbControle[ReqC]="","",1/COUNTIF(tbControle[ReqC],tbControle[[#This Row],[ReqC]]))</f>
        <v>0.33333333333333331</v>
      </c>
      <c r="Y28" s="51">
        <f ca="1">IF(OR(tbControle[Qtde ReqC]="",tbControle[Aging '[dias']]=""),"",tbControle[Qtde ReqC]*tbControle[Aging '[dias']])</f>
        <v>27.666666666666664</v>
      </c>
      <c r="Z28" s="51" t="str">
        <f>IF(OR(tbControle[[#This Row],[ReqC]]="",tbControle[[#This Row],[Item]]="",tbControle[[#This Row],[Data Transferência]]=""),"",_xlfn.CONCAT(tbControle[[#This Row],[ReqC]],"-",tbControle[[#This Row],[Item]],"-",tbControle[[#This Row],[Data Transferência]]))</f>
        <v>10111216-30-43957</v>
      </c>
      <c r="AA28" s="51">
        <f>IF(tbControle[Item Exclusívo]="","",1/COUNTIF(tbControle[Item Exclusívo],tbControle[[#This Row],[Item Exclusívo]]))</f>
        <v>1</v>
      </c>
      <c r="AB28" s="54">
        <f>IF(tbControle[Data Transferência]="","",MONTH(tbControle[Data Transferência]))</f>
        <v>5</v>
      </c>
      <c r="AC28" s="54">
        <f>IF(tbControle[Data Transferência]="","",YEAR(tbControle[Data Transferência]))</f>
        <v>2020</v>
      </c>
    </row>
    <row r="29" spans="1:29" ht="16.5" x14ac:dyDescent="0.25">
      <c r="A29" s="59">
        <v>10111217</v>
      </c>
      <c r="B29" s="55">
        <f ca="1">IF(tbControle[Data Inicial Comprador]="","",IF(tbControle[Data Final Comprador]="",TODAY()-tbControle[Data Transferência],tbControle[Data Final Comprador]-tbControle[Data Transferência]))</f>
        <v>83</v>
      </c>
      <c r="C29" s="56" t="s">
        <v>72</v>
      </c>
      <c r="D29" s="59">
        <v>10</v>
      </c>
      <c r="E29" s="57">
        <v>93629</v>
      </c>
      <c r="F29" s="57" t="s">
        <v>108</v>
      </c>
      <c r="G29" s="57">
        <v>1</v>
      </c>
      <c r="H29" s="60">
        <v>5005</v>
      </c>
      <c r="I29" s="58">
        <v>43957</v>
      </c>
      <c r="J29" s="58">
        <v>43957</v>
      </c>
      <c r="K29" s="58" t="s">
        <v>11</v>
      </c>
      <c r="L29" s="58"/>
      <c r="M29" s="58"/>
      <c r="N29" s="59"/>
      <c r="O29" s="58"/>
      <c r="P29" s="58"/>
      <c r="Q29" s="58"/>
      <c r="R29" s="58"/>
      <c r="S29" s="59"/>
      <c r="T29" s="60"/>
      <c r="U29" s="56"/>
      <c r="V29" s="58"/>
      <c r="W29" s="58"/>
      <c r="X29" s="51">
        <f>IF(tbControle[ReqC]="","",1/COUNTIF(tbControle[ReqC],tbControle[[#This Row],[ReqC]]))</f>
        <v>1</v>
      </c>
      <c r="Y29" s="51">
        <f ca="1">IF(OR(tbControle[Qtde ReqC]="",tbControle[Aging '[dias']]=""),"",tbControle[Qtde ReqC]*tbControle[Aging '[dias']])</f>
        <v>83</v>
      </c>
      <c r="Z29" s="51" t="str">
        <f>IF(OR(tbControle[[#This Row],[ReqC]]="",tbControle[[#This Row],[Item]]="",tbControle[[#This Row],[Data Transferência]]=""),"",_xlfn.CONCAT(tbControle[[#This Row],[ReqC]],"-",tbControle[[#This Row],[Item]],"-",tbControle[[#This Row],[Data Transferência]]))</f>
        <v>10111217-10-43957</v>
      </c>
      <c r="AA29" s="51">
        <f>IF(tbControle[Item Exclusívo]="","",1/COUNTIF(tbControle[Item Exclusívo],tbControle[[#This Row],[Item Exclusívo]]))</f>
        <v>1</v>
      </c>
      <c r="AB29" s="54">
        <f>IF(tbControle[Data Transferência]="","",MONTH(tbControle[Data Transferência]))</f>
        <v>5</v>
      </c>
      <c r="AC29" s="54">
        <f>IF(tbControle[Data Transferência]="","",YEAR(tbControle[Data Transferência]))</f>
        <v>2020</v>
      </c>
    </row>
    <row r="30" spans="1:29" ht="16.5" x14ac:dyDescent="0.25">
      <c r="A30" s="59">
        <v>10111218</v>
      </c>
      <c r="B30" s="55">
        <f ca="1">IF(tbControle[Data Inicial Comprador]="","",IF(tbControle[Data Final Comprador]="",TODAY()-tbControle[Data Transferência],tbControle[Data Final Comprador]-tbControle[Data Transferência]))</f>
        <v>4</v>
      </c>
      <c r="C30" s="56" t="s">
        <v>68</v>
      </c>
      <c r="D30" s="59">
        <v>630</v>
      </c>
      <c r="E30" s="57">
        <v>492835</v>
      </c>
      <c r="F30" s="57" t="s">
        <v>109</v>
      </c>
      <c r="G30" s="57">
        <v>1</v>
      </c>
      <c r="H30" s="60">
        <v>213.2</v>
      </c>
      <c r="I30" s="58">
        <v>43957</v>
      </c>
      <c r="J30" s="58">
        <v>43957</v>
      </c>
      <c r="K30" s="58" t="s">
        <v>7</v>
      </c>
      <c r="L30" s="58">
        <v>43961</v>
      </c>
      <c r="M30" s="58">
        <v>43957</v>
      </c>
      <c r="N30" s="59">
        <v>123</v>
      </c>
      <c r="O30" s="58" t="s">
        <v>187</v>
      </c>
      <c r="P30" s="58">
        <v>43960</v>
      </c>
      <c r="Q30" s="58"/>
      <c r="R30" s="58">
        <v>43961</v>
      </c>
      <c r="S30" s="59">
        <v>123456</v>
      </c>
      <c r="T30" s="60">
        <v>213</v>
      </c>
      <c r="U30" s="56" t="s">
        <v>188</v>
      </c>
      <c r="V30" s="58">
        <v>43961</v>
      </c>
      <c r="W30" s="58"/>
      <c r="X30" s="51">
        <f>IF(tbControle[ReqC]="","",1/COUNTIF(tbControle[ReqC],tbControle[[#This Row],[ReqC]]))</f>
        <v>1</v>
      </c>
      <c r="Y30" s="51">
        <f ca="1">IF(OR(tbControle[Qtde ReqC]="",tbControle[Aging '[dias']]=""),"",tbControle[Qtde ReqC]*tbControle[Aging '[dias']])</f>
        <v>4</v>
      </c>
      <c r="Z30" s="51" t="str">
        <f>IF(OR(tbControle[[#This Row],[ReqC]]="",tbControle[[#This Row],[Item]]="",tbControle[[#This Row],[Data Transferência]]=""),"",_xlfn.CONCAT(tbControle[[#This Row],[ReqC]],"-",tbControle[[#This Row],[Item]],"-",tbControle[[#This Row],[Data Transferência]]))</f>
        <v>10111218-630-43957</v>
      </c>
      <c r="AA30" s="51">
        <f>IF(tbControle[Item Exclusívo]="","",1/COUNTIF(tbControle[Item Exclusívo],tbControle[[#This Row],[Item Exclusívo]]))</f>
        <v>1</v>
      </c>
      <c r="AB30" s="54">
        <f>IF(tbControle[Data Transferência]="","",MONTH(tbControle[Data Transferência]))</f>
        <v>5</v>
      </c>
      <c r="AC30" s="54">
        <f>IF(tbControle[Data Transferência]="","",YEAR(tbControle[Data Transferência]))</f>
        <v>2020</v>
      </c>
    </row>
    <row r="31" spans="1:29" ht="16.5" x14ac:dyDescent="0.25">
      <c r="A31" s="59">
        <v>10111219</v>
      </c>
      <c r="B31" s="55">
        <f ca="1">IF(tbControle[Data Inicial Comprador]="","",IF(tbControle[Data Final Comprador]="",TODAY()-tbControle[Data Transferência],tbControle[Data Final Comprador]-tbControle[Data Transferência]))</f>
        <v>75</v>
      </c>
      <c r="C31" s="56" t="s">
        <v>70</v>
      </c>
      <c r="D31" s="59">
        <v>10</v>
      </c>
      <c r="E31" s="57">
        <v>363865</v>
      </c>
      <c r="F31" s="57" t="s">
        <v>110</v>
      </c>
      <c r="G31" s="57">
        <v>1</v>
      </c>
      <c r="H31" s="60">
        <v>49990</v>
      </c>
      <c r="I31" s="58">
        <v>43965</v>
      </c>
      <c r="J31" s="58">
        <v>43965</v>
      </c>
      <c r="K31" s="58" t="s">
        <v>8</v>
      </c>
      <c r="L31" s="58"/>
      <c r="M31" s="58">
        <v>43965</v>
      </c>
      <c r="N31" s="59">
        <v>114</v>
      </c>
      <c r="O31" s="58" t="s">
        <v>194</v>
      </c>
      <c r="P31" s="58"/>
      <c r="Q31" s="58"/>
      <c r="R31" s="58"/>
      <c r="S31" s="59"/>
      <c r="T31" s="60"/>
      <c r="U31" s="56"/>
      <c r="V31" s="58"/>
      <c r="W31" s="58"/>
      <c r="X31" s="51">
        <f>IF(tbControle[ReqC]="","",1/COUNTIF(tbControle[ReqC],tbControle[[#This Row],[ReqC]]))</f>
        <v>1</v>
      </c>
      <c r="Y31" s="51">
        <f ca="1">IF(OR(tbControle[Qtde ReqC]="",tbControle[Aging '[dias']]=""),"",tbControle[Qtde ReqC]*tbControle[Aging '[dias']])</f>
        <v>75</v>
      </c>
      <c r="Z31" s="51" t="str">
        <f>IF(OR(tbControle[[#This Row],[ReqC]]="",tbControle[[#This Row],[Item]]="",tbControle[[#This Row],[Data Transferência]]=""),"",_xlfn.CONCAT(tbControle[[#This Row],[ReqC]],"-",tbControle[[#This Row],[Item]],"-",tbControle[[#This Row],[Data Transferência]]))</f>
        <v>10111219-10-43965</v>
      </c>
      <c r="AA31" s="51">
        <f>IF(tbControle[Item Exclusívo]="","",1/COUNTIF(tbControle[Item Exclusívo],tbControle[[#This Row],[Item Exclusívo]]))</f>
        <v>1</v>
      </c>
      <c r="AB31" s="54">
        <f>IF(tbControle[Data Transferência]="","",MONTH(tbControle[Data Transferência]))</f>
        <v>5</v>
      </c>
      <c r="AC31" s="54">
        <f>IF(tbControle[Data Transferência]="","",YEAR(tbControle[Data Transferência]))</f>
        <v>2020</v>
      </c>
    </row>
    <row r="32" spans="1:29" ht="16.5" x14ac:dyDescent="0.25">
      <c r="A32" s="59">
        <v>10111220</v>
      </c>
      <c r="B32" s="55">
        <f ca="1">IF(tbControle[Data Inicial Comprador]="","",IF(tbControle[Data Final Comprador]="",TODAY()-tbControle[Data Transferência],tbControle[Data Final Comprador]-tbControle[Data Transferência]))</f>
        <v>9</v>
      </c>
      <c r="C32" s="56" t="s">
        <v>70</v>
      </c>
      <c r="D32" s="59">
        <v>40</v>
      </c>
      <c r="E32" s="57">
        <v>291697</v>
      </c>
      <c r="F32" s="57" t="s">
        <v>111</v>
      </c>
      <c r="G32" s="57">
        <v>2</v>
      </c>
      <c r="H32" s="60">
        <v>143</v>
      </c>
      <c r="I32" s="58">
        <v>43966</v>
      </c>
      <c r="J32" s="58">
        <v>43966</v>
      </c>
      <c r="K32" s="58" t="s">
        <v>7</v>
      </c>
      <c r="L32" s="58">
        <v>43975</v>
      </c>
      <c r="M32" s="58">
        <v>43974</v>
      </c>
      <c r="N32" s="59">
        <v>116</v>
      </c>
      <c r="O32" s="58" t="s">
        <v>187</v>
      </c>
      <c r="P32" s="58">
        <v>43974</v>
      </c>
      <c r="Q32" s="58"/>
      <c r="R32" s="58">
        <v>43974</v>
      </c>
      <c r="S32" s="59">
        <v>124567</v>
      </c>
      <c r="T32" s="60">
        <v>143</v>
      </c>
      <c r="U32" s="56" t="s">
        <v>189</v>
      </c>
      <c r="V32" s="58">
        <v>43975</v>
      </c>
      <c r="W32" s="58" t="s">
        <v>195</v>
      </c>
      <c r="X32" s="51">
        <f>IF(tbControle[ReqC]="","",1/COUNTIF(tbControle[ReqC],tbControle[[#This Row],[ReqC]]))</f>
        <v>0.33333333333333331</v>
      </c>
      <c r="Y32" s="51">
        <f ca="1">IF(OR(tbControle[Qtde ReqC]="",tbControle[Aging '[dias']]=""),"",tbControle[Qtde ReqC]*tbControle[Aging '[dias']])</f>
        <v>3</v>
      </c>
      <c r="Z32" s="51" t="str">
        <f>IF(OR(tbControle[[#This Row],[ReqC]]="",tbControle[[#This Row],[Item]]="",tbControle[[#This Row],[Data Transferência]]=""),"",_xlfn.CONCAT(tbControle[[#This Row],[ReqC]],"-",tbControle[[#This Row],[Item]],"-",tbControle[[#This Row],[Data Transferência]]))</f>
        <v>10111220-40-43966</v>
      </c>
      <c r="AA32" s="51">
        <f>IF(tbControle[Item Exclusívo]="","",1/COUNTIF(tbControle[Item Exclusívo],tbControle[[#This Row],[Item Exclusívo]]))</f>
        <v>1</v>
      </c>
      <c r="AB32" s="54">
        <f>IF(tbControle[Data Transferência]="","",MONTH(tbControle[Data Transferência]))</f>
        <v>5</v>
      </c>
      <c r="AC32" s="54">
        <f>IF(tbControle[Data Transferência]="","",YEAR(tbControle[Data Transferência]))</f>
        <v>2020</v>
      </c>
    </row>
    <row r="33" spans="1:29" ht="16.5" x14ac:dyDescent="0.25">
      <c r="A33" s="59">
        <v>10111220</v>
      </c>
      <c r="B33" s="55">
        <f ca="1">IF(tbControle[Data Inicial Comprador]="","",IF(tbControle[Data Final Comprador]="",TODAY()-tbControle[Data Transferência],tbControle[Data Final Comprador]-tbControle[Data Transferência]))</f>
        <v>9</v>
      </c>
      <c r="C33" s="56" t="s">
        <v>70</v>
      </c>
      <c r="D33" s="59">
        <v>60</v>
      </c>
      <c r="E33" s="57">
        <v>243807</v>
      </c>
      <c r="F33" s="57" t="s">
        <v>112</v>
      </c>
      <c r="G33" s="57">
        <v>2</v>
      </c>
      <c r="H33" s="60">
        <v>182</v>
      </c>
      <c r="I33" s="58">
        <v>43966</v>
      </c>
      <c r="J33" s="58">
        <v>43966</v>
      </c>
      <c r="K33" s="58" t="s">
        <v>7</v>
      </c>
      <c r="L33" s="58">
        <v>43975</v>
      </c>
      <c r="M33" s="58">
        <v>43974</v>
      </c>
      <c r="N33" s="59">
        <v>116</v>
      </c>
      <c r="O33" s="58" t="s">
        <v>187</v>
      </c>
      <c r="P33" s="58">
        <v>43974</v>
      </c>
      <c r="Q33" s="58"/>
      <c r="R33" s="58">
        <v>43974</v>
      </c>
      <c r="S33" s="59">
        <v>124567</v>
      </c>
      <c r="T33" s="60">
        <v>182</v>
      </c>
      <c r="U33" s="56" t="s">
        <v>189</v>
      </c>
      <c r="V33" s="58">
        <v>43975</v>
      </c>
      <c r="W33" s="58" t="s">
        <v>195</v>
      </c>
      <c r="X33" s="51">
        <f>IF(tbControle[ReqC]="","",1/COUNTIF(tbControle[ReqC],tbControle[[#This Row],[ReqC]]))</f>
        <v>0.33333333333333331</v>
      </c>
      <c r="Y33" s="51">
        <f ca="1">IF(OR(tbControle[Qtde ReqC]="",tbControle[Aging '[dias']]=""),"",tbControle[Qtde ReqC]*tbControle[Aging '[dias']])</f>
        <v>3</v>
      </c>
      <c r="Z33" s="51" t="str">
        <f>IF(OR(tbControle[[#This Row],[ReqC]]="",tbControle[[#This Row],[Item]]="",tbControle[[#This Row],[Data Transferência]]=""),"",_xlfn.CONCAT(tbControle[[#This Row],[ReqC]],"-",tbControle[[#This Row],[Item]],"-",tbControle[[#This Row],[Data Transferência]]))</f>
        <v>10111220-60-43966</v>
      </c>
      <c r="AA33" s="51">
        <f>IF(tbControle[Item Exclusívo]="","",1/COUNTIF(tbControle[Item Exclusívo],tbControle[[#This Row],[Item Exclusívo]]))</f>
        <v>1</v>
      </c>
      <c r="AB33" s="54">
        <f>IF(tbControle[Data Transferência]="","",MONTH(tbControle[Data Transferência]))</f>
        <v>5</v>
      </c>
      <c r="AC33" s="54">
        <f>IF(tbControle[Data Transferência]="","",YEAR(tbControle[Data Transferência]))</f>
        <v>2020</v>
      </c>
    </row>
    <row r="34" spans="1:29" ht="16.5" x14ac:dyDescent="0.25">
      <c r="A34" s="59">
        <v>10111220</v>
      </c>
      <c r="B34" s="55">
        <f ca="1">IF(tbControle[Data Inicial Comprador]="","",IF(tbControle[Data Final Comprador]="",TODAY()-tbControle[Data Transferência],tbControle[Data Final Comprador]-tbControle[Data Transferência]))</f>
        <v>9</v>
      </c>
      <c r="C34" s="56" t="s">
        <v>70</v>
      </c>
      <c r="D34" s="59">
        <v>80</v>
      </c>
      <c r="E34" s="57">
        <v>262383</v>
      </c>
      <c r="F34" s="57" t="s">
        <v>113</v>
      </c>
      <c r="G34" s="57">
        <v>2</v>
      </c>
      <c r="H34" s="60">
        <v>87.42</v>
      </c>
      <c r="I34" s="58">
        <v>43966</v>
      </c>
      <c r="J34" s="58">
        <v>43966</v>
      </c>
      <c r="K34" s="58" t="s">
        <v>7</v>
      </c>
      <c r="L34" s="58">
        <v>43975</v>
      </c>
      <c r="M34" s="58">
        <v>43974</v>
      </c>
      <c r="N34" s="59">
        <v>116</v>
      </c>
      <c r="O34" s="58" t="s">
        <v>187</v>
      </c>
      <c r="P34" s="58">
        <v>43974</v>
      </c>
      <c r="Q34" s="58"/>
      <c r="R34" s="58">
        <v>43974</v>
      </c>
      <c r="S34" s="59">
        <v>124567</v>
      </c>
      <c r="T34" s="60">
        <v>87.42</v>
      </c>
      <c r="U34" s="56" t="s">
        <v>189</v>
      </c>
      <c r="V34" s="58">
        <v>43975</v>
      </c>
      <c r="W34" s="58" t="s">
        <v>195</v>
      </c>
      <c r="X34" s="51">
        <f>IF(tbControle[ReqC]="","",1/COUNTIF(tbControle[ReqC],tbControle[[#This Row],[ReqC]]))</f>
        <v>0.33333333333333331</v>
      </c>
      <c r="Y34" s="51">
        <f ca="1">IF(OR(tbControle[Qtde ReqC]="",tbControle[Aging '[dias']]=""),"",tbControle[Qtde ReqC]*tbControle[Aging '[dias']])</f>
        <v>3</v>
      </c>
      <c r="Z34" s="51" t="str">
        <f>IF(OR(tbControle[[#This Row],[ReqC]]="",tbControle[[#This Row],[Item]]="",tbControle[[#This Row],[Data Transferência]]=""),"",_xlfn.CONCAT(tbControle[[#This Row],[ReqC]],"-",tbControle[[#This Row],[Item]],"-",tbControle[[#This Row],[Data Transferência]]))</f>
        <v>10111220-80-43966</v>
      </c>
      <c r="AA34" s="51">
        <f>IF(tbControle[Item Exclusívo]="","",1/COUNTIF(tbControle[Item Exclusívo],tbControle[[#This Row],[Item Exclusívo]]))</f>
        <v>1</v>
      </c>
      <c r="AB34" s="54">
        <f>IF(tbControle[Data Transferência]="","",MONTH(tbControle[Data Transferência]))</f>
        <v>5</v>
      </c>
      <c r="AC34" s="54">
        <f>IF(tbControle[Data Transferência]="","",YEAR(tbControle[Data Transferência]))</f>
        <v>2020</v>
      </c>
    </row>
    <row r="35" spans="1:29" ht="16.5" x14ac:dyDescent="0.25">
      <c r="A35" s="59">
        <v>10111221</v>
      </c>
      <c r="B35" s="55">
        <f ca="1">IF(tbControle[Data Inicial Comprador]="","",IF(tbControle[Data Final Comprador]="",TODAY()-tbControle[Data Transferência],tbControle[Data Final Comprador]-tbControle[Data Transferência]))</f>
        <v>0</v>
      </c>
      <c r="C35" s="56" t="s">
        <v>70</v>
      </c>
      <c r="D35" s="59">
        <v>10</v>
      </c>
      <c r="E35" s="57">
        <v>521456</v>
      </c>
      <c r="F35" s="57" t="s">
        <v>114</v>
      </c>
      <c r="G35" s="57">
        <v>1</v>
      </c>
      <c r="H35" s="60">
        <v>1400</v>
      </c>
      <c r="I35" s="58">
        <v>43970</v>
      </c>
      <c r="J35" s="58">
        <v>43970</v>
      </c>
      <c r="K35" s="58" t="s">
        <v>7</v>
      </c>
      <c r="L35" s="58">
        <v>43970</v>
      </c>
      <c r="M35" s="58">
        <v>43970</v>
      </c>
      <c r="N35" s="59">
        <v>116</v>
      </c>
      <c r="O35" s="58" t="s">
        <v>187</v>
      </c>
      <c r="P35" s="58">
        <v>43970</v>
      </c>
      <c r="Q35" s="58"/>
      <c r="R35" s="58">
        <v>43970</v>
      </c>
      <c r="S35" s="59">
        <v>154678</v>
      </c>
      <c r="T35" s="60">
        <v>1120</v>
      </c>
      <c r="U35" s="56" t="s">
        <v>188</v>
      </c>
      <c r="V35" s="58">
        <v>43970</v>
      </c>
      <c r="W35" s="58"/>
      <c r="X35" s="51">
        <f>IF(tbControle[ReqC]="","",1/COUNTIF(tbControle[ReqC],tbControle[[#This Row],[ReqC]]))</f>
        <v>1</v>
      </c>
      <c r="Y35" s="51">
        <f ca="1">IF(OR(tbControle[Qtde ReqC]="",tbControle[Aging '[dias']]=""),"",tbControle[Qtde ReqC]*tbControle[Aging '[dias']])</f>
        <v>0</v>
      </c>
      <c r="Z35" s="51" t="str">
        <f>IF(OR(tbControle[[#This Row],[ReqC]]="",tbControle[[#This Row],[Item]]="",tbControle[[#This Row],[Data Transferência]]=""),"",_xlfn.CONCAT(tbControle[[#This Row],[ReqC]],"-",tbControle[[#This Row],[Item]],"-",tbControle[[#This Row],[Data Transferência]]))</f>
        <v>10111221-10-43970</v>
      </c>
      <c r="AA35" s="51">
        <f>IF(tbControle[Item Exclusívo]="","",1/COUNTIF(tbControle[Item Exclusívo],tbControle[[#This Row],[Item Exclusívo]]))</f>
        <v>1</v>
      </c>
      <c r="AB35" s="54">
        <f>IF(tbControle[Data Transferência]="","",MONTH(tbControle[Data Transferência]))</f>
        <v>5</v>
      </c>
      <c r="AC35" s="54">
        <f>IF(tbControle[Data Transferência]="","",YEAR(tbControle[Data Transferência]))</f>
        <v>2020</v>
      </c>
    </row>
    <row r="36" spans="1:29" ht="16.5" x14ac:dyDescent="0.25">
      <c r="A36" s="59">
        <v>10672021</v>
      </c>
      <c r="B36" s="55">
        <f ca="1">IF(tbControle[Data Inicial Comprador]="","",IF(tbControle[Data Final Comprador]="",TODAY()-tbControle[Data Transferência],tbControle[Data Final Comprador]-tbControle[Data Transferência]))</f>
        <v>69</v>
      </c>
      <c r="C36" s="56" t="s">
        <v>72</v>
      </c>
      <c r="D36" s="59">
        <v>10</v>
      </c>
      <c r="E36" s="57">
        <v>514643</v>
      </c>
      <c r="F36" s="57" t="s">
        <v>115</v>
      </c>
      <c r="G36" s="57">
        <v>1</v>
      </c>
      <c r="H36" s="60">
        <v>9495.11</v>
      </c>
      <c r="I36" s="58">
        <v>43971</v>
      </c>
      <c r="J36" s="58">
        <v>43971</v>
      </c>
      <c r="K36" s="58" t="s">
        <v>11</v>
      </c>
      <c r="L36" s="58"/>
      <c r="M36" s="58"/>
      <c r="N36" s="59"/>
      <c r="O36" s="58"/>
      <c r="P36" s="58"/>
      <c r="Q36" s="58"/>
      <c r="R36" s="58"/>
      <c r="S36" s="59"/>
      <c r="T36" s="60"/>
      <c r="U36" s="56"/>
      <c r="V36" s="58"/>
      <c r="W36" s="58"/>
      <c r="X36" s="51">
        <f>IF(tbControle[ReqC]="","",1/COUNTIF(tbControle[ReqC],tbControle[[#This Row],[ReqC]]))</f>
        <v>1</v>
      </c>
      <c r="Y36" s="51">
        <f ca="1">IF(OR(tbControle[Qtde ReqC]="",tbControle[Aging '[dias']]=""),"",tbControle[Qtde ReqC]*tbControle[Aging '[dias']])</f>
        <v>69</v>
      </c>
      <c r="Z36" s="51" t="str">
        <f>IF(OR(tbControle[[#This Row],[ReqC]]="",tbControle[[#This Row],[Item]]="",tbControle[[#This Row],[Data Transferência]]=""),"",_xlfn.CONCAT(tbControle[[#This Row],[ReqC]],"-",tbControle[[#This Row],[Item]],"-",tbControle[[#This Row],[Data Transferência]]))</f>
        <v>10672021-10-43971</v>
      </c>
      <c r="AA36" s="51">
        <f>IF(tbControle[Item Exclusívo]="","",1/COUNTIF(tbControle[Item Exclusívo],tbControle[[#This Row],[Item Exclusívo]]))</f>
        <v>1</v>
      </c>
      <c r="AB36" s="54">
        <f>IF(tbControle[Data Transferência]="","",MONTH(tbControle[Data Transferência]))</f>
        <v>5</v>
      </c>
      <c r="AC36" s="54">
        <f>IF(tbControle[Data Transferência]="","",YEAR(tbControle[Data Transferência]))</f>
        <v>2020</v>
      </c>
    </row>
    <row r="37" spans="1:29" ht="16.5" x14ac:dyDescent="0.25">
      <c r="A37" s="59">
        <v>10111222</v>
      </c>
      <c r="B37" s="55">
        <f ca="1">IF(tbControle[Data Inicial Comprador]="","",IF(tbControle[Data Final Comprador]="",TODAY()-tbControle[Data Transferência],tbControle[Data Final Comprador]-tbControle[Data Transferência]))</f>
        <v>1</v>
      </c>
      <c r="C37" s="56" t="s">
        <v>68</v>
      </c>
      <c r="D37" s="59">
        <v>10</v>
      </c>
      <c r="E37" s="57">
        <v>473868</v>
      </c>
      <c r="F37" s="57" t="s">
        <v>116</v>
      </c>
      <c r="G37" s="57">
        <v>4</v>
      </c>
      <c r="H37" s="60">
        <v>6800</v>
      </c>
      <c r="I37" s="58">
        <v>43973</v>
      </c>
      <c r="J37" s="58">
        <v>43973</v>
      </c>
      <c r="K37" s="58" t="s">
        <v>189</v>
      </c>
      <c r="L37" s="58">
        <v>43974</v>
      </c>
      <c r="M37" s="58">
        <v>43974</v>
      </c>
      <c r="N37" s="59">
        <v>132</v>
      </c>
      <c r="O37" s="58" t="s">
        <v>190</v>
      </c>
      <c r="P37" s="58">
        <v>43974</v>
      </c>
      <c r="Q37" s="58" t="s">
        <v>191</v>
      </c>
      <c r="R37" s="58"/>
      <c r="S37" s="59"/>
      <c r="T37" s="60"/>
      <c r="U37" s="56"/>
      <c r="V37" s="58"/>
      <c r="W37" s="58"/>
      <c r="X37" s="51">
        <f>IF(tbControle[ReqC]="","",1/COUNTIF(tbControle[ReqC],tbControle[[#This Row],[ReqC]]))</f>
        <v>1</v>
      </c>
      <c r="Y37" s="51">
        <f ca="1">IF(OR(tbControle[Qtde ReqC]="",tbControle[Aging '[dias']]=""),"",tbControle[Qtde ReqC]*tbControle[Aging '[dias']])</f>
        <v>1</v>
      </c>
      <c r="Z37" s="51" t="str">
        <f>IF(OR(tbControle[[#This Row],[ReqC]]="",tbControle[[#This Row],[Item]]="",tbControle[[#This Row],[Data Transferência]]=""),"",_xlfn.CONCAT(tbControle[[#This Row],[ReqC]],"-",tbControle[[#This Row],[Item]],"-",tbControle[[#This Row],[Data Transferência]]))</f>
        <v>10111222-10-43973</v>
      </c>
      <c r="AA37" s="51">
        <f>IF(tbControle[Item Exclusívo]="","",1/COUNTIF(tbControle[Item Exclusívo],tbControle[[#This Row],[Item Exclusívo]]))</f>
        <v>1</v>
      </c>
      <c r="AB37" s="54">
        <f>IF(tbControle[Data Transferência]="","",MONTH(tbControle[Data Transferência]))</f>
        <v>5</v>
      </c>
      <c r="AC37" s="54">
        <f>IF(tbControle[Data Transferência]="","",YEAR(tbControle[Data Transferência]))</f>
        <v>2020</v>
      </c>
    </row>
    <row r="38" spans="1:29" ht="16.5" x14ac:dyDescent="0.25">
      <c r="A38" s="59">
        <v>10111223</v>
      </c>
      <c r="B38" s="55">
        <f ca="1">IF(tbControle[Data Inicial Comprador]="","",IF(tbControle[Data Final Comprador]="",TODAY()-tbControle[Data Transferência],tbControle[Data Final Comprador]-tbControle[Data Transferência]))</f>
        <v>66</v>
      </c>
      <c r="C38" s="56" t="s">
        <v>72</v>
      </c>
      <c r="D38" s="59">
        <v>10</v>
      </c>
      <c r="E38" s="57">
        <v>515641</v>
      </c>
      <c r="F38" s="57" t="s">
        <v>117</v>
      </c>
      <c r="G38" s="57">
        <v>1</v>
      </c>
      <c r="H38" s="60">
        <v>45000</v>
      </c>
      <c r="I38" s="58">
        <v>43974</v>
      </c>
      <c r="J38" s="58">
        <v>43974</v>
      </c>
      <c r="K38" s="58" t="s">
        <v>11</v>
      </c>
      <c r="L38" s="58"/>
      <c r="M38" s="58"/>
      <c r="N38" s="59"/>
      <c r="O38" s="58"/>
      <c r="P38" s="58"/>
      <c r="Q38" s="58"/>
      <c r="R38" s="58"/>
      <c r="S38" s="59"/>
      <c r="T38" s="60"/>
      <c r="U38" s="56"/>
      <c r="V38" s="58"/>
      <c r="W38" s="58"/>
      <c r="X38" s="51">
        <f>IF(tbControle[ReqC]="","",1/COUNTIF(tbControle[ReqC],tbControle[[#This Row],[ReqC]]))</f>
        <v>1</v>
      </c>
      <c r="Y38" s="51">
        <f ca="1">IF(OR(tbControle[Qtde ReqC]="",tbControle[Aging '[dias']]=""),"",tbControle[Qtde ReqC]*tbControle[Aging '[dias']])</f>
        <v>66</v>
      </c>
      <c r="Z38" s="51" t="str">
        <f>IF(OR(tbControle[[#This Row],[ReqC]]="",tbControle[[#This Row],[Item]]="",tbControle[[#This Row],[Data Transferência]]=""),"",_xlfn.CONCAT(tbControle[[#This Row],[ReqC]],"-",tbControle[[#This Row],[Item]],"-",tbControle[[#This Row],[Data Transferência]]))</f>
        <v>10111223-10-43974</v>
      </c>
      <c r="AA38" s="51">
        <f>IF(tbControle[Item Exclusívo]="","",1/COUNTIF(tbControle[Item Exclusívo],tbControle[[#This Row],[Item Exclusívo]]))</f>
        <v>1</v>
      </c>
      <c r="AB38" s="54">
        <f>IF(tbControle[Data Transferência]="","",MONTH(tbControle[Data Transferência]))</f>
        <v>5</v>
      </c>
      <c r="AC38" s="54">
        <f>IF(tbControle[Data Transferência]="","",YEAR(tbControle[Data Transferência]))</f>
        <v>2020</v>
      </c>
    </row>
    <row r="39" spans="1:29" ht="16.5" x14ac:dyDescent="0.25">
      <c r="A39" s="59">
        <v>10111224</v>
      </c>
      <c r="B39" s="55">
        <f ca="1">IF(tbControle[Data Inicial Comprador]="","",IF(tbControle[Data Final Comprador]="",TODAY()-tbControle[Data Transferência],tbControle[Data Final Comprador]-tbControle[Data Transferência]))</f>
        <v>46</v>
      </c>
      <c r="C39" s="56" t="s">
        <v>68</v>
      </c>
      <c r="D39" s="59">
        <v>120</v>
      </c>
      <c r="E39" s="57">
        <v>517587</v>
      </c>
      <c r="F39" s="57" t="s">
        <v>118</v>
      </c>
      <c r="G39" s="57">
        <v>1</v>
      </c>
      <c r="H39" s="60">
        <v>1700</v>
      </c>
      <c r="I39" s="58">
        <v>43994</v>
      </c>
      <c r="J39" s="58">
        <v>43994</v>
      </c>
      <c r="K39" s="58" t="s">
        <v>11</v>
      </c>
      <c r="L39" s="58"/>
      <c r="M39" s="58"/>
      <c r="N39" s="59"/>
      <c r="O39" s="58"/>
      <c r="P39" s="58"/>
      <c r="Q39" s="58"/>
      <c r="R39" s="58"/>
      <c r="S39" s="59"/>
      <c r="T39" s="60"/>
      <c r="U39" s="56"/>
      <c r="V39" s="58"/>
      <c r="W39" s="58"/>
      <c r="X39" s="51">
        <f>IF(tbControle[ReqC]="","",1/COUNTIF(tbControle[ReqC],tbControle[[#This Row],[ReqC]]))</f>
        <v>0.25</v>
      </c>
      <c r="Y39" s="51">
        <f ca="1">IF(OR(tbControle[Qtde ReqC]="",tbControle[Aging '[dias']]=""),"",tbControle[Qtde ReqC]*tbControle[Aging '[dias']])</f>
        <v>11.5</v>
      </c>
      <c r="Z39" s="51" t="str">
        <f>IF(OR(tbControle[[#This Row],[ReqC]]="",tbControle[[#This Row],[Item]]="",tbControle[[#This Row],[Data Transferência]]=""),"",_xlfn.CONCAT(tbControle[[#This Row],[ReqC]],"-",tbControle[[#This Row],[Item]],"-",tbControle[[#This Row],[Data Transferência]]))</f>
        <v>10111224-120-43994</v>
      </c>
      <c r="AA39" s="51">
        <f>IF(tbControle[Item Exclusívo]="","",1/COUNTIF(tbControle[Item Exclusívo],tbControle[[#This Row],[Item Exclusívo]]))</f>
        <v>1</v>
      </c>
      <c r="AB39" s="54">
        <f>IF(tbControle[Data Transferência]="","",MONTH(tbControle[Data Transferência]))</f>
        <v>6</v>
      </c>
      <c r="AC39" s="54">
        <f>IF(tbControle[Data Transferência]="","",YEAR(tbControle[Data Transferência]))</f>
        <v>2020</v>
      </c>
    </row>
    <row r="40" spans="1:29" ht="16.5" x14ac:dyDescent="0.25">
      <c r="A40" s="59">
        <v>10111224</v>
      </c>
      <c r="B40" s="55">
        <f ca="1">IF(tbControle[Data Inicial Comprador]="","",IF(tbControle[Data Final Comprador]="",TODAY()-tbControle[Data Transferência],tbControle[Data Final Comprador]-tbControle[Data Transferência]))</f>
        <v>46</v>
      </c>
      <c r="C40" s="56" t="s">
        <v>68</v>
      </c>
      <c r="D40" s="59">
        <v>160</v>
      </c>
      <c r="E40" s="57">
        <v>518199</v>
      </c>
      <c r="F40" s="57" t="s">
        <v>119</v>
      </c>
      <c r="G40" s="57">
        <v>1</v>
      </c>
      <c r="H40" s="60">
        <v>414</v>
      </c>
      <c r="I40" s="58">
        <v>43994</v>
      </c>
      <c r="J40" s="58">
        <v>43994</v>
      </c>
      <c r="K40" s="58" t="s">
        <v>11</v>
      </c>
      <c r="L40" s="58"/>
      <c r="M40" s="58"/>
      <c r="N40" s="59"/>
      <c r="O40" s="58"/>
      <c r="P40" s="58"/>
      <c r="Q40" s="58"/>
      <c r="R40" s="58"/>
      <c r="S40" s="59"/>
      <c r="T40" s="60"/>
      <c r="U40" s="56"/>
      <c r="V40" s="58"/>
      <c r="W40" s="58"/>
      <c r="X40" s="51">
        <f>IF(tbControle[ReqC]="","",1/COUNTIF(tbControle[ReqC],tbControle[[#This Row],[ReqC]]))</f>
        <v>0.25</v>
      </c>
      <c r="Y40" s="51">
        <f ca="1">IF(OR(tbControle[Qtde ReqC]="",tbControle[Aging '[dias']]=""),"",tbControle[Qtde ReqC]*tbControle[Aging '[dias']])</f>
        <v>11.5</v>
      </c>
      <c r="Z40" s="51" t="str">
        <f>IF(OR(tbControle[[#This Row],[ReqC]]="",tbControle[[#This Row],[Item]]="",tbControle[[#This Row],[Data Transferência]]=""),"",_xlfn.CONCAT(tbControle[[#This Row],[ReqC]],"-",tbControle[[#This Row],[Item]],"-",tbControle[[#This Row],[Data Transferência]]))</f>
        <v>10111224-160-43994</v>
      </c>
      <c r="AA40" s="51">
        <f>IF(tbControle[Item Exclusívo]="","",1/COUNTIF(tbControle[Item Exclusívo],tbControle[[#This Row],[Item Exclusívo]]))</f>
        <v>1</v>
      </c>
      <c r="AB40" s="54">
        <f>IF(tbControle[Data Transferência]="","",MONTH(tbControle[Data Transferência]))</f>
        <v>6</v>
      </c>
      <c r="AC40" s="54">
        <f>IF(tbControle[Data Transferência]="","",YEAR(tbControle[Data Transferência]))</f>
        <v>2020</v>
      </c>
    </row>
    <row r="41" spans="1:29" ht="16.5" x14ac:dyDescent="0.25">
      <c r="A41" s="59">
        <v>10111224</v>
      </c>
      <c r="B41" s="55">
        <f ca="1">IF(tbControle[Data Inicial Comprador]="","",IF(tbControle[Data Final Comprador]="",TODAY()-tbControle[Data Transferência],tbControle[Data Final Comprador]-tbControle[Data Transferência]))</f>
        <v>46</v>
      </c>
      <c r="C41" s="56" t="s">
        <v>68</v>
      </c>
      <c r="D41" s="59">
        <v>390</v>
      </c>
      <c r="E41" s="57">
        <v>301190</v>
      </c>
      <c r="F41" s="57" t="s">
        <v>120</v>
      </c>
      <c r="G41" s="57">
        <v>8</v>
      </c>
      <c r="H41" s="60">
        <v>1409.44</v>
      </c>
      <c r="I41" s="58">
        <v>43994</v>
      </c>
      <c r="J41" s="58">
        <v>43994</v>
      </c>
      <c r="K41" s="58" t="s">
        <v>11</v>
      </c>
      <c r="L41" s="58"/>
      <c r="M41" s="58"/>
      <c r="N41" s="59"/>
      <c r="O41" s="58"/>
      <c r="P41" s="58"/>
      <c r="Q41" s="58"/>
      <c r="R41" s="58"/>
      <c r="S41" s="59"/>
      <c r="T41" s="60"/>
      <c r="U41" s="56"/>
      <c r="V41" s="58"/>
      <c r="W41" s="58"/>
      <c r="X41" s="51">
        <f>IF(tbControle[ReqC]="","",1/COUNTIF(tbControle[ReqC],tbControle[[#This Row],[ReqC]]))</f>
        <v>0.25</v>
      </c>
      <c r="Y41" s="51">
        <f ca="1">IF(OR(tbControle[Qtde ReqC]="",tbControle[Aging '[dias']]=""),"",tbControle[Qtde ReqC]*tbControle[Aging '[dias']])</f>
        <v>11.5</v>
      </c>
      <c r="Z41" s="51" t="str">
        <f>IF(OR(tbControle[[#This Row],[ReqC]]="",tbControle[[#This Row],[Item]]="",tbControle[[#This Row],[Data Transferência]]=""),"",_xlfn.CONCAT(tbControle[[#This Row],[ReqC]],"-",tbControle[[#This Row],[Item]],"-",tbControle[[#This Row],[Data Transferência]]))</f>
        <v>10111224-390-43994</v>
      </c>
      <c r="AA41" s="51">
        <f>IF(tbControle[Item Exclusívo]="","",1/COUNTIF(tbControle[Item Exclusívo],tbControle[[#This Row],[Item Exclusívo]]))</f>
        <v>1</v>
      </c>
      <c r="AB41" s="54">
        <f>IF(tbControle[Data Transferência]="","",MONTH(tbControle[Data Transferência]))</f>
        <v>6</v>
      </c>
      <c r="AC41" s="54">
        <f>IF(tbControle[Data Transferência]="","",YEAR(tbControle[Data Transferência]))</f>
        <v>2020</v>
      </c>
    </row>
    <row r="42" spans="1:29" ht="16.5" x14ac:dyDescent="0.25">
      <c r="A42" s="59">
        <v>10111224</v>
      </c>
      <c r="B42" s="55">
        <f ca="1">IF(tbControle[Data Inicial Comprador]="","",IF(tbControle[Data Final Comprador]="",TODAY()-tbControle[Data Transferência],tbControle[Data Final Comprador]-tbControle[Data Transferência]))</f>
        <v>46</v>
      </c>
      <c r="C42" s="56" t="s">
        <v>68</v>
      </c>
      <c r="D42" s="59">
        <v>400</v>
      </c>
      <c r="E42" s="57">
        <v>316171</v>
      </c>
      <c r="F42" s="57" t="s">
        <v>121</v>
      </c>
      <c r="G42" s="57">
        <v>1</v>
      </c>
      <c r="H42" s="60">
        <v>179.25</v>
      </c>
      <c r="I42" s="58">
        <v>43994</v>
      </c>
      <c r="J42" s="58">
        <v>43994</v>
      </c>
      <c r="K42" s="58" t="s">
        <v>11</v>
      </c>
      <c r="L42" s="58"/>
      <c r="M42" s="58"/>
      <c r="N42" s="59"/>
      <c r="O42" s="58"/>
      <c r="P42" s="58"/>
      <c r="Q42" s="58"/>
      <c r="R42" s="58"/>
      <c r="S42" s="59"/>
      <c r="T42" s="60"/>
      <c r="U42" s="56"/>
      <c r="V42" s="58"/>
      <c r="W42" s="58"/>
      <c r="X42" s="51">
        <f>IF(tbControle[ReqC]="","",1/COUNTIF(tbControle[ReqC],tbControle[[#This Row],[ReqC]]))</f>
        <v>0.25</v>
      </c>
      <c r="Y42" s="51">
        <f ca="1">IF(OR(tbControle[Qtde ReqC]="",tbControle[Aging '[dias']]=""),"",tbControle[Qtde ReqC]*tbControle[Aging '[dias']])</f>
        <v>11.5</v>
      </c>
      <c r="Z42" s="51" t="str">
        <f>IF(OR(tbControle[[#This Row],[ReqC]]="",tbControle[[#This Row],[Item]]="",tbControle[[#This Row],[Data Transferência]]=""),"",_xlfn.CONCAT(tbControle[[#This Row],[ReqC]],"-",tbControle[[#This Row],[Item]],"-",tbControle[[#This Row],[Data Transferência]]))</f>
        <v>10111224-400-43994</v>
      </c>
      <c r="AA42" s="51">
        <f>IF(tbControle[Item Exclusívo]="","",1/COUNTIF(tbControle[Item Exclusívo],tbControle[[#This Row],[Item Exclusívo]]))</f>
        <v>1</v>
      </c>
      <c r="AB42" s="54">
        <f>IF(tbControle[Data Transferência]="","",MONTH(tbControle[Data Transferência]))</f>
        <v>6</v>
      </c>
      <c r="AC42" s="54">
        <f>IF(tbControle[Data Transferência]="","",YEAR(tbControle[Data Transferência]))</f>
        <v>2020</v>
      </c>
    </row>
    <row r="43" spans="1:29" ht="16.5" x14ac:dyDescent="0.25">
      <c r="A43" s="59">
        <v>10111225</v>
      </c>
      <c r="B43" s="55">
        <f ca="1">IF(tbControle[Data Inicial Comprador]="","",IF(tbControle[Data Final Comprador]="",TODAY()-tbControle[Data Transferência],tbControle[Data Final Comprador]-tbControle[Data Transferência]))</f>
        <v>42</v>
      </c>
      <c r="C43" s="56" t="s">
        <v>70</v>
      </c>
      <c r="D43" s="59">
        <v>1</v>
      </c>
      <c r="E43" s="57">
        <v>226031</v>
      </c>
      <c r="F43" s="57" t="s">
        <v>122</v>
      </c>
      <c r="G43" s="57">
        <v>3</v>
      </c>
      <c r="H43" s="60">
        <v>4500</v>
      </c>
      <c r="I43" s="58">
        <v>43998</v>
      </c>
      <c r="J43" s="58">
        <v>43998</v>
      </c>
      <c r="K43" s="58" t="s">
        <v>11</v>
      </c>
      <c r="L43" s="58"/>
      <c r="M43" s="58"/>
      <c r="N43" s="59"/>
      <c r="O43" s="58"/>
      <c r="P43" s="58"/>
      <c r="Q43" s="58"/>
      <c r="R43" s="58"/>
      <c r="S43" s="59"/>
      <c r="T43" s="60"/>
      <c r="U43" s="56"/>
      <c r="V43" s="58"/>
      <c r="W43" s="58"/>
      <c r="X43" s="51">
        <f>IF(tbControle[ReqC]="","",1/COUNTIF(tbControle[ReqC],tbControle[[#This Row],[ReqC]]))</f>
        <v>1</v>
      </c>
      <c r="Y43" s="51">
        <f ca="1">IF(OR(tbControle[Qtde ReqC]="",tbControle[Aging '[dias']]=""),"",tbControle[Qtde ReqC]*tbControle[Aging '[dias']])</f>
        <v>42</v>
      </c>
      <c r="Z43" s="51" t="str">
        <f>IF(OR(tbControle[[#This Row],[ReqC]]="",tbControle[[#This Row],[Item]]="",tbControle[[#This Row],[Data Transferência]]=""),"",_xlfn.CONCAT(tbControle[[#This Row],[ReqC]],"-",tbControle[[#This Row],[Item]],"-",tbControle[[#This Row],[Data Transferência]]))</f>
        <v>10111225-1-43998</v>
      </c>
      <c r="AA43" s="51">
        <f>IF(tbControle[Item Exclusívo]="","",1/COUNTIF(tbControle[Item Exclusívo],tbControle[[#This Row],[Item Exclusívo]]))</f>
        <v>1</v>
      </c>
      <c r="AB43" s="54">
        <f>IF(tbControle[Data Transferência]="","",MONTH(tbControle[Data Transferência]))</f>
        <v>6</v>
      </c>
      <c r="AC43" s="54">
        <f>IF(tbControle[Data Transferência]="","",YEAR(tbControle[Data Transferência]))</f>
        <v>2020</v>
      </c>
    </row>
    <row r="44" spans="1:29" ht="16.5" x14ac:dyDescent="0.25">
      <c r="A44" s="59">
        <v>10111226</v>
      </c>
      <c r="B44" s="55">
        <f ca="1">IF(tbControle[Data Inicial Comprador]="","",IF(tbControle[Data Final Comprador]="",TODAY()-tbControle[Data Transferência],tbControle[Data Final Comprador]-tbControle[Data Transferência]))</f>
        <v>0</v>
      </c>
      <c r="C44" s="56" t="s">
        <v>69</v>
      </c>
      <c r="D44" s="59">
        <v>10</v>
      </c>
      <c r="E44" s="57">
        <v>480845</v>
      </c>
      <c r="F44" s="57" t="s">
        <v>123</v>
      </c>
      <c r="G44" s="57">
        <v>1</v>
      </c>
      <c r="H44" s="60">
        <v>3815</v>
      </c>
      <c r="I44" s="58">
        <v>43999</v>
      </c>
      <c r="J44" s="58">
        <v>43999</v>
      </c>
      <c r="K44" s="58" t="s">
        <v>7</v>
      </c>
      <c r="L44" s="58">
        <v>43999</v>
      </c>
      <c r="M44" s="58">
        <v>43999</v>
      </c>
      <c r="N44" s="59">
        <v>104</v>
      </c>
      <c r="O44" s="58" t="s">
        <v>187</v>
      </c>
      <c r="P44" s="58">
        <v>43999</v>
      </c>
      <c r="Q44" s="58"/>
      <c r="R44" s="58">
        <v>43999</v>
      </c>
      <c r="S44" s="59">
        <v>123458</v>
      </c>
      <c r="T44" s="60">
        <v>3815</v>
      </c>
      <c r="U44" s="56" t="s">
        <v>188</v>
      </c>
      <c r="V44" s="58">
        <v>43999</v>
      </c>
      <c r="W44" s="58"/>
      <c r="X44" s="51">
        <f>IF(tbControle[ReqC]="","",1/COUNTIF(tbControle[ReqC],tbControle[[#This Row],[ReqC]]))</f>
        <v>0.5</v>
      </c>
      <c r="Y44" s="51">
        <f ca="1">IF(OR(tbControle[Qtde ReqC]="",tbControle[Aging '[dias']]=""),"",tbControle[Qtde ReqC]*tbControle[Aging '[dias']])</f>
        <v>0</v>
      </c>
      <c r="Z44" s="51" t="str">
        <f>IF(OR(tbControle[[#This Row],[ReqC]]="",tbControle[[#This Row],[Item]]="",tbControle[[#This Row],[Data Transferência]]=""),"",_xlfn.CONCAT(tbControle[[#This Row],[ReqC]],"-",tbControle[[#This Row],[Item]],"-",tbControle[[#This Row],[Data Transferência]]))</f>
        <v>10111226-10-43999</v>
      </c>
      <c r="AA44" s="51">
        <f>IF(tbControle[Item Exclusívo]="","",1/COUNTIF(tbControle[Item Exclusívo],tbControle[[#This Row],[Item Exclusívo]]))</f>
        <v>1</v>
      </c>
      <c r="AB44" s="54">
        <f>IF(tbControle[Data Transferência]="","",MONTH(tbControle[Data Transferência]))</f>
        <v>6</v>
      </c>
      <c r="AC44" s="54">
        <f>IF(tbControle[Data Transferência]="","",YEAR(tbControle[Data Transferência]))</f>
        <v>2020</v>
      </c>
    </row>
    <row r="45" spans="1:29" ht="16.5" x14ac:dyDescent="0.25">
      <c r="A45" s="59">
        <v>10111226</v>
      </c>
      <c r="B45" s="55">
        <f ca="1">IF(tbControle[Data Inicial Comprador]="","",IF(tbControle[Data Final Comprador]="",TODAY()-tbControle[Data Transferência],tbControle[Data Final Comprador]-tbControle[Data Transferência]))</f>
        <v>0</v>
      </c>
      <c r="C45" s="56" t="s">
        <v>69</v>
      </c>
      <c r="D45" s="59">
        <v>20</v>
      </c>
      <c r="E45" s="57">
        <v>518294</v>
      </c>
      <c r="F45" s="57" t="s">
        <v>124</v>
      </c>
      <c r="G45" s="57">
        <v>1</v>
      </c>
      <c r="H45" s="60">
        <v>842</v>
      </c>
      <c r="I45" s="58">
        <v>43999</v>
      </c>
      <c r="J45" s="58">
        <v>43999</v>
      </c>
      <c r="K45" s="58" t="s">
        <v>7</v>
      </c>
      <c r="L45" s="58">
        <v>43999</v>
      </c>
      <c r="M45" s="58">
        <v>43999</v>
      </c>
      <c r="N45" s="59">
        <v>104</v>
      </c>
      <c r="O45" s="58" t="s">
        <v>187</v>
      </c>
      <c r="P45" s="58">
        <v>43999</v>
      </c>
      <c r="Q45" s="58"/>
      <c r="R45" s="58">
        <v>43999</v>
      </c>
      <c r="S45" s="59">
        <v>123458</v>
      </c>
      <c r="T45" s="60">
        <v>842</v>
      </c>
      <c r="U45" s="56" t="s">
        <v>188</v>
      </c>
      <c r="V45" s="58">
        <v>43999</v>
      </c>
      <c r="W45" s="58"/>
      <c r="X45" s="51">
        <f>IF(tbControle[ReqC]="","",1/COUNTIF(tbControle[ReqC],tbControle[[#This Row],[ReqC]]))</f>
        <v>0.5</v>
      </c>
      <c r="Y45" s="51">
        <f ca="1">IF(OR(tbControle[Qtde ReqC]="",tbControle[Aging '[dias']]=""),"",tbControle[Qtde ReqC]*tbControle[Aging '[dias']])</f>
        <v>0</v>
      </c>
      <c r="Z45" s="51" t="str">
        <f>IF(OR(tbControle[[#This Row],[ReqC]]="",tbControle[[#This Row],[Item]]="",tbControle[[#This Row],[Data Transferência]]=""),"",_xlfn.CONCAT(tbControle[[#This Row],[ReqC]],"-",tbControle[[#This Row],[Item]],"-",tbControle[[#This Row],[Data Transferência]]))</f>
        <v>10111226-20-43999</v>
      </c>
      <c r="AA45" s="51">
        <f>IF(tbControle[Item Exclusívo]="","",1/COUNTIF(tbControle[Item Exclusívo],tbControle[[#This Row],[Item Exclusívo]]))</f>
        <v>1</v>
      </c>
      <c r="AB45" s="54">
        <f>IF(tbControle[Data Transferência]="","",MONTH(tbControle[Data Transferência]))</f>
        <v>6</v>
      </c>
      <c r="AC45" s="54">
        <f>IF(tbControle[Data Transferência]="","",YEAR(tbControle[Data Transferência]))</f>
        <v>2020</v>
      </c>
    </row>
    <row r="46" spans="1:29" ht="16.5" x14ac:dyDescent="0.25">
      <c r="A46" s="59">
        <v>10111227</v>
      </c>
      <c r="B46" s="55">
        <f ca="1">IF(tbControle[Data Inicial Comprador]="","",IF(tbControle[Data Final Comprador]="",TODAY()-tbControle[Data Transferência],tbControle[Data Final Comprador]-tbControle[Data Transferência]))</f>
        <v>3</v>
      </c>
      <c r="C46" s="56" t="s">
        <v>71</v>
      </c>
      <c r="D46" s="59">
        <v>10</v>
      </c>
      <c r="E46" s="57">
        <v>174906</v>
      </c>
      <c r="F46" s="57" t="s">
        <v>125</v>
      </c>
      <c r="G46" s="57">
        <v>10</v>
      </c>
      <c r="H46" s="60">
        <v>600</v>
      </c>
      <c r="I46" s="58">
        <v>44000</v>
      </c>
      <c r="J46" s="58">
        <v>44000</v>
      </c>
      <c r="K46" s="58" t="s">
        <v>7</v>
      </c>
      <c r="L46" s="58">
        <v>44003</v>
      </c>
      <c r="M46" s="58">
        <v>44000</v>
      </c>
      <c r="N46" s="59">
        <v>150</v>
      </c>
      <c r="O46" s="58" t="s">
        <v>187</v>
      </c>
      <c r="P46" s="58">
        <v>44002</v>
      </c>
      <c r="Q46" s="58"/>
      <c r="R46" s="58">
        <v>44003</v>
      </c>
      <c r="S46" s="59">
        <v>526341</v>
      </c>
      <c r="T46" s="60">
        <v>600</v>
      </c>
      <c r="U46" s="56" t="s">
        <v>188</v>
      </c>
      <c r="V46" s="58">
        <v>44003</v>
      </c>
      <c r="W46" s="58"/>
      <c r="X46" s="51">
        <f>IF(tbControle[ReqC]="","",1/COUNTIF(tbControle[ReqC],tbControle[[#This Row],[ReqC]]))</f>
        <v>0.14285714285714285</v>
      </c>
      <c r="Y46" s="51">
        <f ca="1">IF(OR(tbControle[Qtde ReqC]="",tbControle[Aging '[dias']]=""),"",tbControle[Qtde ReqC]*tbControle[Aging '[dias']])</f>
        <v>0.42857142857142855</v>
      </c>
      <c r="Z46" s="51" t="str">
        <f>IF(OR(tbControle[[#This Row],[ReqC]]="",tbControle[[#This Row],[Item]]="",tbControle[[#This Row],[Data Transferência]]=""),"",_xlfn.CONCAT(tbControle[[#This Row],[ReqC]],"-",tbControle[[#This Row],[Item]],"-",tbControle[[#This Row],[Data Transferência]]))</f>
        <v>10111227-10-44000</v>
      </c>
      <c r="AA46" s="51">
        <f>IF(tbControle[Item Exclusívo]="","",1/COUNTIF(tbControle[Item Exclusívo],tbControle[[#This Row],[Item Exclusívo]]))</f>
        <v>1</v>
      </c>
      <c r="AB46" s="54">
        <f>IF(tbControle[Data Transferência]="","",MONTH(tbControle[Data Transferência]))</f>
        <v>6</v>
      </c>
      <c r="AC46" s="54">
        <f>IF(tbControle[Data Transferência]="","",YEAR(tbControle[Data Transferência]))</f>
        <v>2020</v>
      </c>
    </row>
    <row r="47" spans="1:29" ht="16.5" x14ac:dyDescent="0.25">
      <c r="A47" s="59">
        <v>10111227</v>
      </c>
      <c r="B47" s="55">
        <f ca="1">IF(tbControle[Data Inicial Comprador]="","",IF(tbControle[Data Final Comprador]="",TODAY()-tbControle[Data Transferência],tbControle[Data Final Comprador]-tbControle[Data Transferência]))</f>
        <v>3</v>
      </c>
      <c r="C47" s="56" t="s">
        <v>71</v>
      </c>
      <c r="D47" s="59">
        <v>20</v>
      </c>
      <c r="E47" s="57">
        <v>193524</v>
      </c>
      <c r="F47" s="57" t="s">
        <v>127</v>
      </c>
      <c r="G47" s="57">
        <v>10</v>
      </c>
      <c r="H47" s="60">
        <v>600</v>
      </c>
      <c r="I47" s="58">
        <v>44000</v>
      </c>
      <c r="J47" s="58">
        <v>44000</v>
      </c>
      <c r="K47" s="58" t="s">
        <v>7</v>
      </c>
      <c r="L47" s="58">
        <v>44003</v>
      </c>
      <c r="M47" s="58">
        <v>44000</v>
      </c>
      <c r="N47" s="59">
        <v>150</v>
      </c>
      <c r="O47" s="58" t="s">
        <v>187</v>
      </c>
      <c r="P47" s="58">
        <v>44002</v>
      </c>
      <c r="Q47" s="58"/>
      <c r="R47" s="58">
        <v>44003</v>
      </c>
      <c r="S47" s="59">
        <v>526341</v>
      </c>
      <c r="T47" s="60">
        <v>600</v>
      </c>
      <c r="U47" s="56" t="s">
        <v>188</v>
      </c>
      <c r="V47" s="58">
        <v>44003</v>
      </c>
      <c r="W47" s="58"/>
      <c r="X47" s="51">
        <f>IF(tbControle[ReqC]="","",1/COUNTIF(tbControle[ReqC],tbControle[[#This Row],[ReqC]]))</f>
        <v>0.14285714285714285</v>
      </c>
      <c r="Y47" s="51">
        <f ca="1">IF(OR(tbControle[Qtde ReqC]="",tbControle[Aging '[dias']]=""),"",tbControle[Qtde ReqC]*tbControle[Aging '[dias']])</f>
        <v>0.42857142857142855</v>
      </c>
      <c r="Z47" s="51" t="str">
        <f>IF(OR(tbControle[[#This Row],[ReqC]]="",tbControle[[#This Row],[Item]]="",tbControle[[#This Row],[Data Transferência]]=""),"",_xlfn.CONCAT(tbControle[[#This Row],[ReqC]],"-",tbControle[[#This Row],[Item]],"-",tbControle[[#This Row],[Data Transferência]]))</f>
        <v>10111227-20-44000</v>
      </c>
      <c r="AA47" s="51">
        <f>IF(tbControle[Item Exclusívo]="","",1/COUNTIF(tbControle[Item Exclusívo],tbControle[[#This Row],[Item Exclusívo]]))</f>
        <v>1</v>
      </c>
      <c r="AB47" s="54">
        <f>IF(tbControle[Data Transferência]="","",MONTH(tbControle[Data Transferência]))</f>
        <v>6</v>
      </c>
      <c r="AC47" s="54">
        <f>IF(tbControle[Data Transferência]="","",YEAR(tbControle[Data Transferência]))</f>
        <v>2020</v>
      </c>
    </row>
    <row r="48" spans="1:29" ht="16.5" x14ac:dyDescent="0.25">
      <c r="A48" s="59">
        <v>10111227</v>
      </c>
      <c r="B48" s="55">
        <f ca="1">IF(tbControle[Data Inicial Comprador]="","",IF(tbControle[Data Final Comprador]="",TODAY()-tbControle[Data Transferência],tbControle[Data Final Comprador]-tbControle[Data Transferência]))</f>
        <v>3</v>
      </c>
      <c r="C48" s="56" t="s">
        <v>71</v>
      </c>
      <c r="D48" s="59">
        <v>30</v>
      </c>
      <c r="E48" s="57">
        <v>321850</v>
      </c>
      <c r="F48" s="57" t="s">
        <v>128</v>
      </c>
      <c r="G48" s="57">
        <v>10</v>
      </c>
      <c r="H48" s="60">
        <v>600</v>
      </c>
      <c r="I48" s="58">
        <v>44000</v>
      </c>
      <c r="J48" s="58">
        <v>44000</v>
      </c>
      <c r="K48" s="58" t="s">
        <v>7</v>
      </c>
      <c r="L48" s="58">
        <v>44003</v>
      </c>
      <c r="M48" s="58">
        <v>44000</v>
      </c>
      <c r="N48" s="59">
        <v>150</v>
      </c>
      <c r="O48" s="58" t="s">
        <v>187</v>
      </c>
      <c r="P48" s="58">
        <v>44002</v>
      </c>
      <c r="Q48" s="58"/>
      <c r="R48" s="58">
        <v>44003</v>
      </c>
      <c r="S48" s="59">
        <v>526341</v>
      </c>
      <c r="T48" s="60">
        <v>600</v>
      </c>
      <c r="U48" s="56" t="s">
        <v>188</v>
      </c>
      <c r="V48" s="58">
        <v>44003</v>
      </c>
      <c r="W48" s="58"/>
      <c r="X48" s="51">
        <f>IF(tbControle[ReqC]="","",1/COUNTIF(tbControle[ReqC],tbControle[[#This Row],[ReqC]]))</f>
        <v>0.14285714285714285</v>
      </c>
      <c r="Y48" s="51">
        <f ca="1">IF(OR(tbControle[Qtde ReqC]="",tbControle[Aging '[dias']]=""),"",tbControle[Qtde ReqC]*tbControle[Aging '[dias']])</f>
        <v>0.42857142857142855</v>
      </c>
      <c r="Z48" s="51" t="str">
        <f>IF(OR(tbControle[[#This Row],[ReqC]]="",tbControle[[#This Row],[Item]]="",tbControle[[#This Row],[Data Transferência]]=""),"",_xlfn.CONCAT(tbControle[[#This Row],[ReqC]],"-",tbControle[[#This Row],[Item]],"-",tbControle[[#This Row],[Data Transferência]]))</f>
        <v>10111227-30-44000</v>
      </c>
      <c r="AA48" s="51">
        <f>IF(tbControle[Item Exclusívo]="","",1/COUNTIF(tbControle[Item Exclusívo],tbControle[[#This Row],[Item Exclusívo]]))</f>
        <v>1</v>
      </c>
      <c r="AB48" s="54">
        <f>IF(tbControle[Data Transferência]="","",MONTH(tbControle[Data Transferência]))</f>
        <v>6</v>
      </c>
      <c r="AC48" s="54">
        <f>IF(tbControle[Data Transferência]="","",YEAR(tbControle[Data Transferência]))</f>
        <v>2020</v>
      </c>
    </row>
    <row r="49" spans="1:29" ht="16.5" x14ac:dyDescent="0.25">
      <c r="A49" s="59">
        <v>10111227</v>
      </c>
      <c r="B49" s="55">
        <f ca="1">IF(tbControle[Data Inicial Comprador]="","",IF(tbControle[Data Final Comprador]="",TODAY()-tbControle[Data Transferência],tbControle[Data Final Comprador]-tbControle[Data Transferência]))</f>
        <v>3</v>
      </c>
      <c r="C49" s="56" t="s">
        <v>71</v>
      </c>
      <c r="D49" s="59">
        <v>40</v>
      </c>
      <c r="E49" s="57">
        <v>173767</v>
      </c>
      <c r="F49" s="57" t="s">
        <v>129</v>
      </c>
      <c r="G49" s="57">
        <v>3</v>
      </c>
      <c r="H49" s="60">
        <v>180</v>
      </c>
      <c r="I49" s="58">
        <v>44000</v>
      </c>
      <c r="J49" s="58">
        <v>44000</v>
      </c>
      <c r="K49" s="58" t="s">
        <v>7</v>
      </c>
      <c r="L49" s="58">
        <v>44003</v>
      </c>
      <c r="M49" s="58">
        <v>44000</v>
      </c>
      <c r="N49" s="59">
        <v>150</v>
      </c>
      <c r="O49" s="58" t="s">
        <v>187</v>
      </c>
      <c r="P49" s="58">
        <v>44002</v>
      </c>
      <c r="Q49" s="58"/>
      <c r="R49" s="58">
        <v>44003</v>
      </c>
      <c r="S49" s="59">
        <v>526341</v>
      </c>
      <c r="T49" s="60">
        <v>180</v>
      </c>
      <c r="U49" s="56" t="s">
        <v>188</v>
      </c>
      <c r="V49" s="58">
        <v>44003</v>
      </c>
      <c r="W49" s="58"/>
      <c r="X49" s="51">
        <f>IF(tbControle[ReqC]="","",1/COUNTIF(tbControle[ReqC],tbControle[[#This Row],[ReqC]]))</f>
        <v>0.14285714285714285</v>
      </c>
      <c r="Y49" s="51">
        <f ca="1">IF(OR(tbControle[Qtde ReqC]="",tbControle[Aging '[dias']]=""),"",tbControle[Qtde ReqC]*tbControle[Aging '[dias']])</f>
        <v>0.42857142857142855</v>
      </c>
      <c r="Z49" s="51" t="str">
        <f>IF(OR(tbControle[[#This Row],[ReqC]]="",tbControle[[#This Row],[Item]]="",tbControle[[#This Row],[Data Transferência]]=""),"",_xlfn.CONCAT(tbControle[[#This Row],[ReqC]],"-",tbControle[[#This Row],[Item]],"-",tbControle[[#This Row],[Data Transferência]]))</f>
        <v>10111227-40-44000</v>
      </c>
      <c r="AA49" s="51">
        <f>IF(tbControle[Item Exclusívo]="","",1/COUNTIF(tbControle[Item Exclusívo],tbControle[[#This Row],[Item Exclusívo]]))</f>
        <v>1</v>
      </c>
      <c r="AB49" s="54">
        <f>IF(tbControle[Data Transferência]="","",MONTH(tbControle[Data Transferência]))</f>
        <v>6</v>
      </c>
      <c r="AC49" s="54">
        <f>IF(tbControle[Data Transferência]="","",YEAR(tbControle[Data Transferência]))</f>
        <v>2020</v>
      </c>
    </row>
    <row r="50" spans="1:29" ht="16.5" x14ac:dyDescent="0.25">
      <c r="A50" s="59">
        <v>10111227</v>
      </c>
      <c r="B50" s="55">
        <f ca="1">IF(tbControle[Data Inicial Comprador]="","",IF(tbControle[Data Final Comprador]="",TODAY()-tbControle[Data Transferência],tbControle[Data Final Comprador]-tbControle[Data Transferência]))</f>
        <v>3</v>
      </c>
      <c r="C50" s="56" t="s">
        <v>71</v>
      </c>
      <c r="D50" s="59">
        <v>50</v>
      </c>
      <c r="E50" s="57">
        <v>274805</v>
      </c>
      <c r="F50" s="57" t="s">
        <v>130</v>
      </c>
      <c r="G50" s="57">
        <v>10</v>
      </c>
      <c r="H50" s="60">
        <v>600</v>
      </c>
      <c r="I50" s="58">
        <v>44000</v>
      </c>
      <c r="J50" s="58">
        <v>44000</v>
      </c>
      <c r="K50" s="58" t="s">
        <v>7</v>
      </c>
      <c r="L50" s="58">
        <v>44003</v>
      </c>
      <c r="M50" s="58">
        <v>44000</v>
      </c>
      <c r="N50" s="59">
        <v>150</v>
      </c>
      <c r="O50" s="58" t="s">
        <v>187</v>
      </c>
      <c r="P50" s="58">
        <v>44002</v>
      </c>
      <c r="Q50" s="58"/>
      <c r="R50" s="58">
        <v>44003</v>
      </c>
      <c r="S50" s="59">
        <v>526341</v>
      </c>
      <c r="T50" s="60">
        <v>600</v>
      </c>
      <c r="U50" s="56" t="s">
        <v>188</v>
      </c>
      <c r="V50" s="58">
        <v>44003</v>
      </c>
      <c r="W50" s="58"/>
      <c r="X50" s="51">
        <f>IF(tbControle[ReqC]="","",1/COUNTIF(tbControle[ReqC],tbControle[[#This Row],[ReqC]]))</f>
        <v>0.14285714285714285</v>
      </c>
      <c r="Y50" s="51">
        <f ca="1">IF(OR(tbControle[Qtde ReqC]="",tbControle[Aging '[dias']]=""),"",tbControle[Qtde ReqC]*tbControle[Aging '[dias']])</f>
        <v>0.42857142857142855</v>
      </c>
      <c r="Z50" s="51" t="str">
        <f>IF(OR(tbControle[[#This Row],[ReqC]]="",tbControle[[#This Row],[Item]]="",tbControle[[#This Row],[Data Transferência]]=""),"",_xlfn.CONCAT(tbControle[[#This Row],[ReqC]],"-",tbControle[[#This Row],[Item]],"-",tbControle[[#This Row],[Data Transferência]]))</f>
        <v>10111227-50-44000</v>
      </c>
      <c r="AA50" s="51">
        <f>IF(tbControle[Item Exclusívo]="","",1/COUNTIF(tbControle[Item Exclusívo],tbControle[[#This Row],[Item Exclusívo]]))</f>
        <v>1</v>
      </c>
      <c r="AB50" s="54">
        <f>IF(tbControle[Data Transferência]="","",MONTH(tbControle[Data Transferência]))</f>
        <v>6</v>
      </c>
      <c r="AC50" s="54">
        <f>IF(tbControle[Data Transferência]="","",YEAR(tbControle[Data Transferência]))</f>
        <v>2020</v>
      </c>
    </row>
    <row r="51" spans="1:29" ht="16.5" x14ac:dyDescent="0.25">
      <c r="A51" s="59">
        <v>10111227</v>
      </c>
      <c r="B51" s="55">
        <f ca="1">IF(tbControle[Data Inicial Comprador]="","",IF(tbControle[Data Final Comprador]="",TODAY()-tbControle[Data Transferência],tbControle[Data Final Comprador]-tbControle[Data Transferência]))</f>
        <v>3</v>
      </c>
      <c r="C51" s="56" t="s">
        <v>71</v>
      </c>
      <c r="D51" s="59">
        <v>60</v>
      </c>
      <c r="E51" s="57">
        <v>172829</v>
      </c>
      <c r="F51" s="57" t="s">
        <v>131</v>
      </c>
      <c r="G51" s="57">
        <v>10</v>
      </c>
      <c r="H51" s="60">
        <v>600</v>
      </c>
      <c r="I51" s="58">
        <v>44000</v>
      </c>
      <c r="J51" s="58">
        <v>44000</v>
      </c>
      <c r="K51" s="58" t="s">
        <v>7</v>
      </c>
      <c r="L51" s="58">
        <v>44003</v>
      </c>
      <c r="M51" s="58">
        <v>44000</v>
      </c>
      <c r="N51" s="59">
        <v>150</v>
      </c>
      <c r="O51" s="58" t="s">
        <v>187</v>
      </c>
      <c r="P51" s="58">
        <v>44002</v>
      </c>
      <c r="Q51" s="58"/>
      <c r="R51" s="58">
        <v>44003</v>
      </c>
      <c r="S51" s="59">
        <v>526341</v>
      </c>
      <c r="T51" s="60">
        <v>600</v>
      </c>
      <c r="U51" s="56" t="s">
        <v>188</v>
      </c>
      <c r="V51" s="58">
        <v>44003</v>
      </c>
      <c r="W51" s="58"/>
      <c r="X51" s="51">
        <f>IF(tbControle[ReqC]="","",1/COUNTIF(tbControle[ReqC],tbControle[[#This Row],[ReqC]]))</f>
        <v>0.14285714285714285</v>
      </c>
      <c r="Y51" s="51">
        <f ca="1">IF(OR(tbControle[Qtde ReqC]="",tbControle[Aging '[dias']]=""),"",tbControle[Qtde ReqC]*tbControle[Aging '[dias']])</f>
        <v>0.42857142857142855</v>
      </c>
      <c r="Z51" s="51" t="str">
        <f>IF(OR(tbControle[[#This Row],[ReqC]]="",tbControle[[#This Row],[Item]]="",tbControle[[#This Row],[Data Transferência]]=""),"",_xlfn.CONCAT(tbControle[[#This Row],[ReqC]],"-",tbControle[[#This Row],[Item]],"-",tbControle[[#This Row],[Data Transferência]]))</f>
        <v>10111227-60-44000</v>
      </c>
      <c r="AA51" s="51">
        <f>IF(tbControle[Item Exclusívo]="","",1/COUNTIF(tbControle[Item Exclusívo],tbControle[[#This Row],[Item Exclusívo]]))</f>
        <v>1</v>
      </c>
      <c r="AB51" s="54">
        <f>IF(tbControle[Data Transferência]="","",MONTH(tbControle[Data Transferência]))</f>
        <v>6</v>
      </c>
      <c r="AC51" s="54">
        <f>IF(tbControle[Data Transferência]="","",YEAR(tbControle[Data Transferência]))</f>
        <v>2020</v>
      </c>
    </row>
    <row r="52" spans="1:29" ht="16.5" x14ac:dyDescent="0.25">
      <c r="A52" s="59">
        <v>10111227</v>
      </c>
      <c r="B52" s="55">
        <f ca="1">IF(tbControle[Data Inicial Comprador]="","",IF(tbControle[Data Final Comprador]="",TODAY()-tbControle[Data Transferência],tbControle[Data Final Comprador]-tbControle[Data Transferência]))</f>
        <v>3</v>
      </c>
      <c r="C52" s="56" t="s">
        <v>71</v>
      </c>
      <c r="D52" s="59">
        <v>70</v>
      </c>
      <c r="E52" s="57">
        <v>172501</v>
      </c>
      <c r="F52" s="57" t="s">
        <v>132</v>
      </c>
      <c r="G52" s="57">
        <v>20</v>
      </c>
      <c r="H52" s="60">
        <v>1200</v>
      </c>
      <c r="I52" s="58">
        <v>44000</v>
      </c>
      <c r="J52" s="58">
        <v>44000</v>
      </c>
      <c r="K52" s="58" t="s">
        <v>7</v>
      </c>
      <c r="L52" s="58">
        <v>44003</v>
      </c>
      <c r="M52" s="58">
        <v>44000</v>
      </c>
      <c r="N52" s="59">
        <v>150</v>
      </c>
      <c r="O52" s="58" t="s">
        <v>187</v>
      </c>
      <c r="P52" s="58">
        <v>44002</v>
      </c>
      <c r="Q52" s="58"/>
      <c r="R52" s="58">
        <v>44003</v>
      </c>
      <c r="S52" s="59">
        <v>526341</v>
      </c>
      <c r="T52" s="60">
        <v>1200</v>
      </c>
      <c r="U52" s="56" t="s">
        <v>188</v>
      </c>
      <c r="V52" s="58">
        <v>44003</v>
      </c>
      <c r="W52" s="58"/>
      <c r="X52" s="51">
        <f>IF(tbControle[ReqC]="","",1/COUNTIF(tbControle[ReqC],tbControle[[#This Row],[ReqC]]))</f>
        <v>0.14285714285714285</v>
      </c>
      <c r="Y52" s="51">
        <f ca="1">IF(OR(tbControle[Qtde ReqC]="",tbControle[Aging '[dias']]=""),"",tbControle[Qtde ReqC]*tbControle[Aging '[dias']])</f>
        <v>0.42857142857142855</v>
      </c>
      <c r="Z52" s="51" t="str">
        <f>IF(OR(tbControle[[#This Row],[ReqC]]="",tbControle[[#This Row],[Item]]="",tbControle[[#This Row],[Data Transferência]]=""),"",_xlfn.CONCAT(tbControle[[#This Row],[ReqC]],"-",tbControle[[#This Row],[Item]],"-",tbControle[[#This Row],[Data Transferência]]))</f>
        <v>10111227-70-44000</v>
      </c>
      <c r="AA52" s="51">
        <f>IF(tbControle[Item Exclusívo]="","",1/COUNTIF(tbControle[Item Exclusívo],tbControle[[#This Row],[Item Exclusívo]]))</f>
        <v>1</v>
      </c>
      <c r="AB52" s="54">
        <f>IF(tbControle[Data Transferência]="","",MONTH(tbControle[Data Transferência]))</f>
        <v>6</v>
      </c>
      <c r="AC52" s="54">
        <f>IF(tbControle[Data Transferência]="","",YEAR(tbControle[Data Transferência]))</f>
        <v>2020</v>
      </c>
    </row>
    <row r="53" spans="1:29" ht="16.5" x14ac:dyDescent="0.25">
      <c r="A53" s="59">
        <v>10111228</v>
      </c>
      <c r="B53" s="55">
        <f ca="1">IF(tbControle[Data Inicial Comprador]="","",IF(tbControle[Data Final Comprador]="",TODAY()-tbControle[Data Transferência],tbControle[Data Final Comprador]-tbControle[Data Transferência]))</f>
        <v>40</v>
      </c>
      <c r="C53" s="56" t="s">
        <v>72</v>
      </c>
      <c r="D53" s="59">
        <v>100</v>
      </c>
      <c r="E53" s="57">
        <v>189712</v>
      </c>
      <c r="F53" s="57" t="s">
        <v>133</v>
      </c>
      <c r="G53" s="57">
        <v>30</v>
      </c>
      <c r="H53" s="60">
        <v>390</v>
      </c>
      <c r="I53" s="58">
        <v>44000</v>
      </c>
      <c r="J53" s="58">
        <v>44000</v>
      </c>
      <c r="K53" s="58" t="s">
        <v>11</v>
      </c>
      <c r="L53" s="58"/>
      <c r="M53" s="58"/>
      <c r="N53" s="59"/>
      <c r="O53" s="58"/>
      <c r="P53" s="58"/>
      <c r="Q53" s="58"/>
      <c r="R53" s="58"/>
      <c r="S53" s="59"/>
      <c r="T53" s="60"/>
      <c r="U53" s="56"/>
      <c r="V53" s="58"/>
      <c r="W53" s="58"/>
      <c r="X53" s="51">
        <f>IF(tbControle[ReqC]="","",1/COUNTIF(tbControle[ReqC],tbControle[[#This Row],[ReqC]]))</f>
        <v>1</v>
      </c>
      <c r="Y53" s="51">
        <f ca="1">IF(OR(tbControle[Qtde ReqC]="",tbControle[Aging '[dias']]=""),"",tbControle[Qtde ReqC]*tbControle[Aging '[dias']])</f>
        <v>40</v>
      </c>
      <c r="Z53" s="51" t="str">
        <f>IF(OR(tbControle[[#This Row],[ReqC]]="",tbControle[[#This Row],[Item]]="",tbControle[[#This Row],[Data Transferência]]=""),"",_xlfn.CONCAT(tbControle[[#This Row],[ReqC]],"-",tbControle[[#This Row],[Item]],"-",tbControle[[#This Row],[Data Transferência]]))</f>
        <v>10111228-100-44000</v>
      </c>
      <c r="AA53" s="51">
        <f>IF(tbControle[Item Exclusívo]="","",1/COUNTIF(tbControle[Item Exclusívo],tbControle[[#This Row],[Item Exclusívo]]))</f>
        <v>1</v>
      </c>
      <c r="AB53" s="54">
        <f>IF(tbControle[Data Transferência]="","",MONTH(tbControle[Data Transferência]))</f>
        <v>6</v>
      </c>
      <c r="AC53" s="54">
        <f>IF(tbControle[Data Transferência]="","",YEAR(tbControle[Data Transferência]))</f>
        <v>2020</v>
      </c>
    </row>
    <row r="54" spans="1:29" ht="16.5" x14ac:dyDescent="0.25">
      <c r="A54" s="59">
        <v>10111229</v>
      </c>
      <c r="B54" s="55">
        <f ca="1">IF(tbControle[Data Inicial Comprador]="","",IF(tbControle[Data Final Comprador]="",TODAY()-tbControle[Data Transferência],tbControle[Data Final Comprador]-tbControle[Data Transferência]))</f>
        <v>40</v>
      </c>
      <c r="C54" s="56" t="s">
        <v>70</v>
      </c>
      <c r="D54" s="59">
        <v>10</v>
      </c>
      <c r="E54" s="57">
        <v>414576</v>
      </c>
      <c r="F54" s="57" t="s">
        <v>134</v>
      </c>
      <c r="G54" s="57">
        <v>24</v>
      </c>
      <c r="H54" s="60">
        <v>2426.64</v>
      </c>
      <c r="I54" s="58">
        <v>44000</v>
      </c>
      <c r="J54" s="58">
        <v>44000</v>
      </c>
      <c r="K54" s="58" t="s">
        <v>11</v>
      </c>
      <c r="L54" s="58"/>
      <c r="M54" s="58"/>
      <c r="N54" s="59"/>
      <c r="O54" s="58"/>
      <c r="P54" s="58"/>
      <c r="Q54" s="58"/>
      <c r="R54" s="58"/>
      <c r="S54" s="59"/>
      <c r="T54" s="60">
        <v>276.89999999999998</v>
      </c>
      <c r="U54" s="56"/>
      <c r="V54" s="58"/>
      <c r="W54" s="58"/>
      <c r="X54" s="51">
        <f>IF(tbControle[ReqC]="","",1/COUNTIF(tbControle[ReqC],tbControle[[#This Row],[ReqC]]))</f>
        <v>0.5</v>
      </c>
      <c r="Y54" s="51">
        <f ca="1">IF(OR(tbControle[Qtde ReqC]="",tbControle[Aging '[dias']]=""),"",tbControle[Qtde ReqC]*tbControle[Aging '[dias']])</f>
        <v>20</v>
      </c>
      <c r="Z54" s="51" t="str">
        <f>IF(OR(tbControle[[#This Row],[ReqC]]="",tbControle[[#This Row],[Item]]="",tbControle[[#This Row],[Data Transferência]]=""),"",_xlfn.CONCAT(tbControle[[#This Row],[ReqC]],"-",tbControle[[#This Row],[Item]],"-",tbControle[[#This Row],[Data Transferência]]))</f>
        <v>10111229-10-44000</v>
      </c>
      <c r="AA54" s="51">
        <f>IF(tbControle[Item Exclusívo]="","",1/COUNTIF(tbControle[Item Exclusívo],tbControle[[#This Row],[Item Exclusívo]]))</f>
        <v>1</v>
      </c>
      <c r="AB54" s="54">
        <f>IF(tbControle[Data Transferência]="","",MONTH(tbControle[Data Transferência]))</f>
        <v>6</v>
      </c>
      <c r="AC54" s="54">
        <f>IF(tbControle[Data Transferência]="","",YEAR(tbControle[Data Transferência]))</f>
        <v>2020</v>
      </c>
    </row>
    <row r="55" spans="1:29" ht="16.5" x14ac:dyDescent="0.25">
      <c r="A55" s="59">
        <v>10111229</v>
      </c>
      <c r="B55" s="55">
        <f ca="1">IF(tbControle[Data Inicial Comprador]="","",IF(tbControle[Data Final Comprador]="",TODAY()-tbControle[Data Transferência],tbControle[Data Final Comprador]-tbControle[Data Transferência]))</f>
        <v>40</v>
      </c>
      <c r="C55" s="56" t="s">
        <v>70</v>
      </c>
      <c r="D55" s="59">
        <v>20</v>
      </c>
      <c r="E55" s="57">
        <v>488625</v>
      </c>
      <c r="F55" s="57" t="s">
        <v>134</v>
      </c>
      <c r="G55" s="57">
        <v>24</v>
      </c>
      <c r="H55" s="60">
        <v>7269.6</v>
      </c>
      <c r="I55" s="58">
        <v>44000</v>
      </c>
      <c r="J55" s="58">
        <v>44000</v>
      </c>
      <c r="K55" s="58" t="s">
        <v>11</v>
      </c>
      <c r="L55" s="58"/>
      <c r="M55" s="58"/>
      <c r="N55" s="59"/>
      <c r="O55" s="58"/>
      <c r="P55" s="58"/>
      <c r="Q55" s="58"/>
      <c r="R55" s="58"/>
      <c r="S55" s="59"/>
      <c r="T55" s="60">
        <v>500</v>
      </c>
      <c r="U55" s="56"/>
      <c r="V55" s="58"/>
      <c r="W55" s="58"/>
      <c r="X55" s="51">
        <f>IF(tbControle[ReqC]="","",1/COUNTIF(tbControle[ReqC],tbControle[[#This Row],[ReqC]]))</f>
        <v>0.5</v>
      </c>
      <c r="Y55" s="51">
        <f ca="1">IF(OR(tbControle[Qtde ReqC]="",tbControle[Aging '[dias']]=""),"",tbControle[Qtde ReqC]*tbControle[Aging '[dias']])</f>
        <v>20</v>
      </c>
      <c r="Z55" s="51" t="str">
        <f>IF(OR(tbControle[[#This Row],[ReqC]]="",tbControle[[#This Row],[Item]]="",tbControle[[#This Row],[Data Transferência]]=""),"",_xlfn.CONCAT(tbControle[[#This Row],[ReqC]],"-",tbControle[[#This Row],[Item]],"-",tbControle[[#This Row],[Data Transferência]]))</f>
        <v>10111229-20-44000</v>
      </c>
      <c r="AA55" s="51">
        <f>IF(tbControle[Item Exclusívo]="","",1/COUNTIF(tbControle[Item Exclusívo],tbControle[[#This Row],[Item Exclusívo]]))</f>
        <v>1</v>
      </c>
      <c r="AB55" s="54">
        <f>IF(tbControle[Data Transferência]="","",MONTH(tbControle[Data Transferência]))</f>
        <v>6</v>
      </c>
      <c r="AC55" s="54">
        <f>IF(tbControle[Data Transferência]="","",YEAR(tbControle[Data Transferência]))</f>
        <v>2020</v>
      </c>
    </row>
    <row r="56" spans="1:29" ht="16.5" x14ac:dyDescent="0.25">
      <c r="A56" s="59">
        <v>10111230</v>
      </c>
      <c r="B56" s="55">
        <f ca="1">IF(tbControle[Data Inicial Comprador]="","",IF(tbControle[Data Final Comprador]="",TODAY()-tbControle[Data Transferência],tbControle[Data Final Comprador]-tbControle[Data Transferência]))</f>
        <v>3</v>
      </c>
      <c r="C56" s="56" t="s">
        <v>69</v>
      </c>
      <c r="D56" s="59">
        <v>10</v>
      </c>
      <c r="E56" s="57">
        <v>531695</v>
      </c>
      <c r="F56" s="57" t="s">
        <v>135</v>
      </c>
      <c r="G56" s="57">
        <v>1</v>
      </c>
      <c r="H56" s="60">
        <v>9230</v>
      </c>
      <c r="I56" s="58">
        <v>44000</v>
      </c>
      <c r="J56" s="58">
        <v>44000</v>
      </c>
      <c r="K56" s="58" t="s">
        <v>7</v>
      </c>
      <c r="L56" s="58">
        <v>44003</v>
      </c>
      <c r="M56" s="58">
        <v>44001</v>
      </c>
      <c r="N56" s="59">
        <v>105</v>
      </c>
      <c r="O56" s="58" t="s">
        <v>187</v>
      </c>
      <c r="P56" s="58">
        <v>44002</v>
      </c>
      <c r="Q56" s="58"/>
      <c r="R56" s="58">
        <v>44003</v>
      </c>
      <c r="S56" s="59">
        <v>123458</v>
      </c>
      <c r="T56" s="60">
        <v>611</v>
      </c>
      <c r="U56" s="56" t="s">
        <v>188</v>
      </c>
      <c r="V56" s="58">
        <v>44003</v>
      </c>
      <c r="W56" s="58"/>
      <c r="X56" s="51">
        <f>IF(tbControle[ReqC]="","",1/COUNTIF(tbControle[ReqC],tbControle[[#This Row],[ReqC]]))</f>
        <v>1</v>
      </c>
      <c r="Y56" s="51">
        <f ca="1">IF(OR(tbControle[Qtde ReqC]="",tbControle[Aging '[dias']]=""),"",tbControle[Qtde ReqC]*tbControle[Aging '[dias']])</f>
        <v>3</v>
      </c>
      <c r="Z56" s="51" t="str">
        <f>IF(OR(tbControle[[#This Row],[ReqC]]="",tbControle[[#This Row],[Item]]="",tbControle[[#This Row],[Data Transferência]]=""),"",_xlfn.CONCAT(tbControle[[#This Row],[ReqC]],"-",tbControle[[#This Row],[Item]],"-",tbControle[[#This Row],[Data Transferência]]))</f>
        <v>10111230-10-44000</v>
      </c>
      <c r="AA56" s="51">
        <f>IF(tbControle[Item Exclusívo]="","",1/COUNTIF(tbControle[Item Exclusívo],tbControle[[#This Row],[Item Exclusívo]]))</f>
        <v>1</v>
      </c>
      <c r="AB56" s="54">
        <f>IF(tbControle[Data Transferência]="","",MONTH(tbControle[Data Transferência]))</f>
        <v>6</v>
      </c>
      <c r="AC56" s="54">
        <f>IF(tbControle[Data Transferência]="","",YEAR(tbControle[Data Transferência]))</f>
        <v>2020</v>
      </c>
    </row>
    <row r="57" spans="1:29" ht="16.5" x14ac:dyDescent="0.25">
      <c r="A57" s="59">
        <v>10111231</v>
      </c>
      <c r="B57" s="55">
        <f ca="1">IF(tbControle[Data Inicial Comprador]="","",IF(tbControle[Data Final Comprador]="",TODAY()-tbControle[Data Transferência],tbControle[Data Final Comprador]-tbControle[Data Transferência]))</f>
        <v>6</v>
      </c>
      <c r="C57" s="56" t="s">
        <v>69</v>
      </c>
      <c r="D57" s="59">
        <v>10</v>
      </c>
      <c r="E57" s="57">
        <v>485573</v>
      </c>
      <c r="F57" s="57" t="s">
        <v>136</v>
      </c>
      <c r="G57" s="57">
        <v>2</v>
      </c>
      <c r="H57" s="60">
        <v>13404.3</v>
      </c>
      <c r="I57" s="58">
        <v>44000</v>
      </c>
      <c r="J57" s="58">
        <v>44000</v>
      </c>
      <c r="K57" s="58" t="s">
        <v>7</v>
      </c>
      <c r="L57" s="58">
        <v>44006</v>
      </c>
      <c r="M57" s="58">
        <v>44002</v>
      </c>
      <c r="N57" s="59">
        <v>106</v>
      </c>
      <c r="O57" s="58" t="s">
        <v>187</v>
      </c>
      <c r="P57" s="58">
        <v>44003</v>
      </c>
      <c r="Q57" s="58"/>
      <c r="R57" s="58">
        <v>44005</v>
      </c>
      <c r="S57" s="59">
        <v>123478</v>
      </c>
      <c r="T57" s="60">
        <v>611</v>
      </c>
      <c r="U57" s="56" t="s">
        <v>188</v>
      </c>
      <c r="V57" s="58">
        <v>44006</v>
      </c>
      <c r="W57" s="58"/>
      <c r="X57" s="51">
        <f>IF(tbControle[ReqC]="","",1/COUNTIF(tbControle[ReqC],tbControle[[#This Row],[ReqC]]))</f>
        <v>1</v>
      </c>
      <c r="Y57" s="51">
        <f ca="1">IF(OR(tbControle[Qtde ReqC]="",tbControle[Aging '[dias']]=""),"",tbControle[Qtde ReqC]*tbControle[Aging '[dias']])</f>
        <v>6</v>
      </c>
      <c r="Z57" s="51" t="str">
        <f>IF(OR(tbControle[[#This Row],[ReqC]]="",tbControle[[#This Row],[Item]]="",tbControle[[#This Row],[Data Transferência]]=""),"",_xlfn.CONCAT(tbControle[[#This Row],[ReqC]],"-",tbControle[[#This Row],[Item]],"-",tbControle[[#This Row],[Data Transferência]]))</f>
        <v>10111231-10-44000</v>
      </c>
      <c r="AA57" s="51">
        <f>IF(tbControle[Item Exclusívo]="","",1/COUNTIF(tbControle[Item Exclusívo],tbControle[[#This Row],[Item Exclusívo]]))</f>
        <v>1</v>
      </c>
      <c r="AB57" s="54">
        <f>IF(tbControle[Data Transferência]="","",MONTH(tbControle[Data Transferência]))</f>
        <v>6</v>
      </c>
      <c r="AC57" s="54">
        <f>IF(tbControle[Data Transferência]="","",YEAR(tbControle[Data Transferência]))</f>
        <v>2020</v>
      </c>
    </row>
    <row r="58" spans="1:29" ht="16.5" x14ac:dyDescent="0.25">
      <c r="A58" s="59">
        <v>10111232</v>
      </c>
      <c r="B58" s="55">
        <f ca="1">IF(tbControle[Data Inicial Comprador]="","",IF(tbControle[Data Final Comprador]="",TODAY()-tbControle[Data Transferência],tbControle[Data Final Comprador]-tbControle[Data Transferência]))</f>
        <v>6</v>
      </c>
      <c r="C58" s="56" t="s">
        <v>69</v>
      </c>
      <c r="D58" s="59">
        <v>10</v>
      </c>
      <c r="E58" s="57">
        <v>311158</v>
      </c>
      <c r="F58" s="57" t="s">
        <v>136</v>
      </c>
      <c r="G58" s="57">
        <v>4</v>
      </c>
      <c r="H58" s="60">
        <v>21600</v>
      </c>
      <c r="I58" s="58">
        <v>44000</v>
      </c>
      <c r="J58" s="58">
        <v>44000</v>
      </c>
      <c r="K58" s="58" t="s">
        <v>7</v>
      </c>
      <c r="L58" s="58">
        <v>44006</v>
      </c>
      <c r="M58" s="58">
        <v>44002</v>
      </c>
      <c r="N58" s="59">
        <v>106</v>
      </c>
      <c r="O58" s="58" t="s">
        <v>187</v>
      </c>
      <c r="P58" s="58">
        <v>44003</v>
      </c>
      <c r="Q58" s="58"/>
      <c r="R58" s="58">
        <v>44005</v>
      </c>
      <c r="S58" s="59">
        <v>123479</v>
      </c>
      <c r="T58" s="60">
        <v>611</v>
      </c>
      <c r="U58" s="56" t="s">
        <v>188</v>
      </c>
      <c r="V58" s="58">
        <v>44006</v>
      </c>
      <c r="W58" s="58"/>
      <c r="X58" s="51">
        <f>IF(tbControle[ReqC]="","",1/COUNTIF(tbControle[ReqC],tbControle[[#This Row],[ReqC]]))</f>
        <v>1</v>
      </c>
      <c r="Y58" s="51">
        <f ca="1">IF(OR(tbControle[Qtde ReqC]="",tbControle[Aging '[dias']]=""),"",tbControle[Qtde ReqC]*tbControle[Aging '[dias']])</f>
        <v>6</v>
      </c>
      <c r="Z58" s="51" t="str">
        <f>IF(OR(tbControle[[#This Row],[ReqC]]="",tbControle[[#This Row],[Item]]="",tbControle[[#This Row],[Data Transferência]]=""),"",_xlfn.CONCAT(tbControle[[#This Row],[ReqC]],"-",tbControle[[#This Row],[Item]],"-",tbControle[[#This Row],[Data Transferência]]))</f>
        <v>10111232-10-44000</v>
      </c>
      <c r="AA58" s="51">
        <f>IF(tbControle[Item Exclusívo]="","",1/COUNTIF(tbControle[Item Exclusívo],tbControle[[#This Row],[Item Exclusívo]]))</f>
        <v>1</v>
      </c>
      <c r="AB58" s="54">
        <f>IF(tbControle[Data Transferência]="","",MONTH(tbControle[Data Transferência]))</f>
        <v>6</v>
      </c>
      <c r="AC58" s="54">
        <f>IF(tbControle[Data Transferência]="","",YEAR(tbControle[Data Transferência]))</f>
        <v>2020</v>
      </c>
    </row>
    <row r="59" spans="1:29" ht="16.5" x14ac:dyDescent="0.25">
      <c r="A59" s="59">
        <v>10111233</v>
      </c>
      <c r="B59" s="55">
        <f ca="1">IF(tbControle[Data Inicial Comprador]="","",IF(tbControle[Data Final Comprador]="",TODAY()-tbControle[Data Transferência],tbControle[Data Final Comprador]-tbControle[Data Transferência]))</f>
        <v>8</v>
      </c>
      <c r="C59" s="56" t="s">
        <v>69</v>
      </c>
      <c r="D59" s="59">
        <v>10</v>
      </c>
      <c r="E59" s="57">
        <v>503332</v>
      </c>
      <c r="F59" s="57" t="s">
        <v>137</v>
      </c>
      <c r="G59" s="57">
        <v>2</v>
      </c>
      <c r="H59" s="60">
        <v>3400</v>
      </c>
      <c r="I59" s="58">
        <v>44000</v>
      </c>
      <c r="J59" s="58">
        <v>44000</v>
      </c>
      <c r="K59" s="58" t="s">
        <v>189</v>
      </c>
      <c r="L59" s="58">
        <v>44008</v>
      </c>
      <c r="M59" s="58">
        <v>44001</v>
      </c>
      <c r="N59" s="59">
        <v>109</v>
      </c>
      <c r="O59" s="58" t="s">
        <v>187</v>
      </c>
      <c r="P59" s="58">
        <v>44006</v>
      </c>
      <c r="Q59" s="58" t="s">
        <v>193</v>
      </c>
      <c r="R59" s="58"/>
      <c r="S59" s="59"/>
      <c r="T59" s="60">
        <v>6500</v>
      </c>
      <c r="U59" s="56"/>
      <c r="V59" s="58"/>
      <c r="W59" s="58"/>
      <c r="X59" s="51">
        <f>IF(tbControle[ReqC]="","",1/COUNTIF(tbControle[ReqC],tbControle[[#This Row],[ReqC]]))</f>
        <v>0.25</v>
      </c>
      <c r="Y59" s="51">
        <f ca="1">IF(OR(tbControle[Qtde ReqC]="",tbControle[Aging '[dias']]=""),"",tbControle[Qtde ReqC]*tbControle[Aging '[dias']])</f>
        <v>2</v>
      </c>
      <c r="Z59" s="51" t="str">
        <f>IF(OR(tbControle[[#This Row],[ReqC]]="",tbControle[[#This Row],[Item]]="",tbControle[[#This Row],[Data Transferência]]=""),"",_xlfn.CONCAT(tbControle[[#This Row],[ReqC]],"-",tbControle[[#This Row],[Item]],"-",tbControle[[#This Row],[Data Transferência]]))</f>
        <v>10111233-10-44000</v>
      </c>
      <c r="AA59" s="51">
        <f>IF(tbControle[Item Exclusívo]="","",1/COUNTIF(tbControle[Item Exclusívo],tbControle[[#This Row],[Item Exclusívo]]))</f>
        <v>1</v>
      </c>
      <c r="AB59" s="54">
        <f>IF(tbControle[Data Transferência]="","",MONTH(tbControle[Data Transferência]))</f>
        <v>6</v>
      </c>
      <c r="AC59" s="54">
        <f>IF(tbControle[Data Transferência]="","",YEAR(tbControle[Data Transferência]))</f>
        <v>2020</v>
      </c>
    </row>
    <row r="60" spans="1:29" ht="16.5" x14ac:dyDescent="0.25">
      <c r="A60" s="59">
        <v>10111233</v>
      </c>
      <c r="B60" s="55">
        <f ca="1">IF(tbControle[Data Inicial Comprador]="","",IF(tbControle[Data Final Comprador]="",TODAY()-tbControle[Data Transferência],tbControle[Data Final Comprador]-tbControle[Data Transferência]))</f>
        <v>8</v>
      </c>
      <c r="C60" s="56" t="s">
        <v>69</v>
      </c>
      <c r="D60" s="59">
        <v>20</v>
      </c>
      <c r="E60" s="57">
        <v>503335</v>
      </c>
      <c r="F60" s="57" t="s">
        <v>138</v>
      </c>
      <c r="G60" s="57">
        <v>2</v>
      </c>
      <c r="H60" s="60">
        <v>690</v>
      </c>
      <c r="I60" s="58">
        <v>44000</v>
      </c>
      <c r="J60" s="58">
        <v>44000</v>
      </c>
      <c r="K60" s="58" t="s">
        <v>189</v>
      </c>
      <c r="L60" s="58">
        <v>44008</v>
      </c>
      <c r="M60" s="58">
        <v>44001</v>
      </c>
      <c r="N60" s="59">
        <v>109</v>
      </c>
      <c r="O60" s="58" t="s">
        <v>187</v>
      </c>
      <c r="P60" s="58">
        <v>44006</v>
      </c>
      <c r="Q60" s="58" t="s">
        <v>193</v>
      </c>
      <c r="R60" s="58"/>
      <c r="S60" s="59"/>
      <c r="T60" s="60">
        <v>4524</v>
      </c>
      <c r="U60" s="56"/>
      <c r="V60" s="58"/>
      <c r="W60" s="58"/>
      <c r="X60" s="51">
        <f>IF(tbControle[ReqC]="","",1/COUNTIF(tbControle[ReqC],tbControle[[#This Row],[ReqC]]))</f>
        <v>0.25</v>
      </c>
      <c r="Y60" s="51">
        <f ca="1">IF(OR(tbControle[Qtde ReqC]="",tbControle[Aging '[dias']]=""),"",tbControle[Qtde ReqC]*tbControle[Aging '[dias']])</f>
        <v>2</v>
      </c>
      <c r="Z60" s="51" t="str">
        <f>IF(OR(tbControle[[#This Row],[ReqC]]="",tbControle[[#This Row],[Item]]="",tbControle[[#This Row],[Data Transferência]]=""),"",_xlfn.CONCAT(tbControle[[#This Row],[ReqC]],"-",tbControle[[#This Row],[Item]],"-",tbControle[[#This Row],[Data Transferência]]))</f>
        <v>10111233-20-44000</v>
      </c>
      <c r="AA60" s="51">
        <f>IF(tbControle[Item Exclusívo]="","",1/COUNTIF(tbControle[Item Exclusívo],tbControle[[#This Row],[Item Exclusívo]]))</f>
        <v>1</v>
      </c>
      <c r="AB60" s="54">
        <f>IF(tbControle[Data Transferência]="","",MONTH(tbControle[Data Transferência]))</f>
        <v>6</v>
      </c>
      <c r="AC60" s="54">
        <f>IF(tbControle[Data Transferência]="","",YEAR(tbControle[Data Transferência]))</f>
        <v>2020</v>
      </c>
    </row>
    <row r="61" spans="1:29" ht="16.5" x14ac:dyDescent="0.25">
      <c r="A61" s="59">
        <v>10111233</v>
      </c>
      <c r="B61" s="55">
        <f ca="1">IF(tbControle[Data Inicial Comprador]="","",IF(tbControle[Data Final Comprador]="",TODAY()-tbControle[Data Transferência],tbControle[Data Final Comprador]-tbControle[Data Transferência]))</f>
        <v>8</v>
      </c>
      <c r="C61" s="56" t="s">
        <v>69</v>
      </c>
      <c r="D61" s="59">
        <v>30</v>
      </c>
      <c r="E61" s="57">
        <v>503334</v>
      </c>
      <c r="F61" s="57" t="s">
        <v>139</v>
      </c>
      <c r="G61" s="57">
        <v>2</v>
      </c>
      <c r="H61" s="60">
        <v>300</v>
      </c>
      <c r="I61" s="58">
        <v>44000</v>
      </c>
      <c r="J61" s="58">
        <v>44000</v>
      </c>
      <c r="K61" s="58" t="s">
        <v>189</v>
      </c>
      <c r="L61" s="58">
        <v>44008</v>
      </c>
      <c r="M61" s="58">
        <v>44001</v>
      </c>
      <c r="N61" s="59">
        <v>109</v>
      </c>
      <c r="O61" s="58" t="s">
        <v>187</v>
      </c>
      <c r="P61" s="58">
        <v>44006</v>
      </c>
      <c r="Q61" s="58" t="s">
        <v>193</v>
      </c>
      <c r="R61" s="58"/>
      <c r="S61" s="59"/>
      <c r="T61" s="60">
        <v>16.899999999999999</v>
      </c>
      <c r="U61" s="56"/>
      <c r="V61" s="58"/>
      <c r="W61" s="58"/>
      <c r="X61" s="51">
        <f>IF(tbControle[ReqC]="","",1/COUNTIF(tbControle[ReqC],tbControle[[#This Row],[ReqC]]))</f>
        <v>0.25</v>
      </c>
      <c r="Y61" s="51">
        <f ca="1">IF(OR(tbControle[Qtde ReqC]="",tbControle[Aging '[dias']]=""),"",tbControle[Qtde ReqC]*tbControle[Aging '[dias']])</f>
        <v>2</v>
      </c>
      <c r="Z61" s="51" t="str">
        <f>IF(OR(tbControle[[#This Row],[ReqC]]="",tbControle[[#This Row],[Item]]="",tbControle[[#This Row],[Data Transferência]]=""),"",_xlfn.CONCAT(tbControle[[#This Row],[ReqC]],"-",tbControle[[#This Row],[Item]],"-",tbControle[[#This Row],[Data Transferência]]))</f>
        <v>10111233-30-44000</v>
      </c>
      <c r="AA61" s="51">
        <f>IF(tbControle[Item Exclusívo]="","",1/COUNTIF(tbControle[Item Exclusívo],tbControle[[#This Row],[Item Exclusívo]]))</f>
        <v>1</v>
      </c>
      <c r="AB61" s="54">
        <f>IF(tbControle[Data Transferência]="","",MONTH(tbControle[Data Transferência]))</f>
        <v>6</v>
      </c>
      <c r="AC61" s="54">
        <f>IF(tbControle[Data Transferência]="","",YEAR(tbControle[Data Transferência]))</f>
        <v>2020</v>
      </c>
    </row>
    <row r="62" spans="1:29" ht="16.5" x14ac:dyDescent="0.25">
      <c r="A62" s="59">
        <v>10111233</v>
      </c>
      <c r="B62" s="55">
        <f ca="1">IF(tbControle[Data Inicial Comprador]="","",IF(tbControle[Data Final Comprador]="",TODAY()-tbControle[Data Transferência],tbControle[Data Final Comprador]-tbControle[Data Transferência]))</f>
        <v>8</v>
      </c>
      <c r="C62" s="56" t="s">
        <v>69</v>
      </c>
      <c r="D62" s="59">
        <v>40</v>
      </c>
      <c r="E62" s="57">
        <v>503331</v>
      </c>
      <c r="F62" s="57" t="s">
        <v>140</v>
      </c>
      <c r="G62" s="57">
        <v>1</v>
      </c>
      <c r="H62" s="60">
        <v>290</v>
      </c>
      <c r="I62" s="58">
        <v>44000</v>
      </c>
      <c r="J62" s="58">
        <v>44000</v>
      </c>
      <c r="K62" s="58" t="s">
        <v>189</v>
      </c>
      <c r="L62" s="58">
        <v>44008</v>
      </c>
      <c r="M62" s="58">
        <v>44001</v>
      </c>
      <c r="N62" s="59">
        <v>109</v>
      </c>
      <c r="O62" s="58" t="s">
        <v>187</v>
      </c>
      <c r="P62" s="58">
        <v>44006</v>
      </c>
      <c r="Q62" s="58" t="s">
        <v>193</v>
      </c>
      <c r="R62" s="58"/>
      <c r="S62" s="59"/>
      <c r="T62" s="60">
        <v>452.4</v>
      </c>
      <c r="U62" s="56"/>
      <c r="V62" s="58"/>
      <c r="W62" s="58"/>
      <c r="X62" s="51">
        <f>IF(tbControle[ReqC]="","",1/COUNTIF(tbControle[ReqC],tbControle[[#This Row],[ReqC]]))</f>
        <v>0.25</v>
      </c>
      <c r="Y62" s="51">
        <f ca="1">IF(OR(tbControle[Qtde ReqC]="",tbControle[Aging '[dias']]=""),"",tbControle[Qtde ReqC]*tbControle[Aging '[dias']])</f>
        <v>2</v>
      </c>
      <c r="Z62" s="51" t="str">
        <f>IF(OR(tbControle[[#This Row],[ReqC]]="",tbControle[[#This Row],[Item]]="",tbControle[[#This Row],[Data Transferência]]=""),"",_xlfn.CONCAT(tbControle[[#This Row],[ReqC]],"-",tbControle[[#This Row],[Item]],"-",tbControle[[#This Row],[Data Transferência]]))</f>
        <v>10111233-40-44000</v>
      </c>
      <c r="AA62" s="51">
        <f>IF(tbControle[Item Exclusívo]="","",1/COUNTIF(tbControle[Item Exclusívo],tbControle[[#This Row],[Item Exclusívo]]))</f>
        <v>1</v>
      </c>
      <c r="AB62" s="54">
        <f>IF(tbControle[Data Transferência]="","",MONTH(tbControle[Data Transferência]))</f>
        <v>6</v>
      </c>
      <c r="AC62" s="54">
        <f>IF(tbControle[Data Transferência]="","",YEAR(tbControle[Data Transferência]))</f>
        <v>2020</v>
      </c>
    </row>
    <row r="63" spans="1:29" ht="16.5" x14ac:dyDescent="0.25">
      <c r="A63" s="59">
        <v>10111234</v>
      </c>
      <c r="B63" s="55">
        <f ca="1">IF(tbControle[Data Inicial Comprador]="","",IF(tbControle[Data Final Comprador]="",TODAY()-tbControle[Data Transferência],tbControle[Data Final Comprador]-tbControle[Data Transferência]))</f>
        <v>8</v>
      </c>
      <c r="C63" s="56" t="s">
        <v>69</v>
      </c>
      <c r="D63" s="59">
        <v>10</v>
      </c>
      <c r="E63" s="57">
        <v>217915</v>
      </c>
      <c r="F63" s="57" t="s">
        <v>141</v>
      </c>
      <c r="G63" s="57">
        <v>72</v>
      </c>
      <c r="H63" s="60">
        <v>3019.68</v>
      </c>
      <c r="I63" s="58">
        <v>44000</v>
      </c>
      <c r="J63" s="58">
        <v>44000</v>
      </c>
      <c r="K63" s="58" t="s">
        <v>7</v>
      </c>
      <c r="L63" s="58">
        <v>44008</v>
      </c>
      <c r="M63" s="58">
        <v>44000</v>
      </c>
      <c r="N63" s="59">
        <v>110</v>
      </c>
      <c r="O63" s="58" t="s">
        <v>187</v>
      </c>
      <c r="P63" s="58">
        <v>44002</v>
      </c>
      <c r="Q63" s="58"/>
      <c r="R63" s="58">
        <v>44006</v>
      </c>
      <c r="S63" s="59">
        <v>123987</v>
      </c>
      <c r="T63" s="60">
        <v>64.61</v>
      </c>
      <c r="U63" s="56" t="s">
        <v>188</v>
      </c>
      <c r="V63" s="58">
        <v>44008</v>
      </c>
      <c r="W63" s="58"/>
      <c r="X63" s="51">
        <f>IF(tbControle[ReqC]="","",1/COUNTIF(tbControle[ReqC],tbControle[[#This Row],[ReqC]]))</f>
        <v>1</v>
      </c>
      <c r="Y63" s="51">
        <f ca="1">IF(OR(tbControle[Qtde ReqC]="",tbControle[Aging '[dias']]=""),"",tbControle[Qtde ReqC]*tbControle[Aging '[dias']])</f>
        <v>8</v>
      </c>
      <c r="Z63" s="51" t="str">
        <f>IF(OR(tbControle[[#This Row],[ReqC]]="",tbControle[[#This Row],[Item]]="",tbControle[[#This Row],[Data Transferência]]=""),"",_xlfn.CONCAT(tbControle[[#This Row],[ReqC]],"-",tbControle[[#This Row],[Item]],"-",tbControle[[#This Row],[Data Transferência]]))</f>
        <v>10111234-10-44000</v>
      </c>
      <c r="AA63" s="51">
        <f>IF(tbControle[Item Exclusívo]="","",1/COUNTIF(tbControle[Item Exclusívo],tbControle[[#This Row],[Item Exclusívo]]))</f>
        <v>1</v>
      </c>
      <c r="AB63" s="54">
        <f>IF(tbControle[Data Transferência]="","",MONTH(tbControle[Data Transferência]))</f>
        <v>6</v>
      </c>
      <c r="AC63" s="54">
        <f>IF(tbControle[Data Transferência]="","",YEAR(tbControle[Data Transferência]))</f>
        <v>2020</v>
      </c>
    </row>
    <row r="64" spans="1:29" ht="16.5" x14ac:dyDescent="0.25">
      <c r="A64" s="59">
        <v>10111236</v>
      </c>
      <c r="B64" s="55">
        <f ca="1">IF(tbControle[Data Inicial Comprador]="","",IF(tbControle[Data Final Comprador]="",TODAY()-tbControle[Data Transferência],tbControle[Data Final Comprador]-tbControle[Data Transferência]))</f>
        <v>40</v>
      </c>
      <c r="C64" s="56" t="s">
        <v>72</v>
      </c>
      <c r="D64" s="59">
        <v>10</v>
      </c>
      <c r="E64" s="57">
        <v>107706</v>
      </c>
      <c r="F64" s="57" t="s">
        <v>142</v>
      </c>
      <c r="G64" s="57">
        <v>2</v>
      </c>
      <c r="H64" s="60">
        <v>5460</v>
      </c>
      <c r="I64" s="58">
        <v>44000</v>
      </c>
      <c r="J64" s="58">
        <v>44000</v>
      </c>
      <c r="K64" s="58" t="s">
        <v>11</v>
      </c>
      <c r="L64" s="58"/>
      <c r="M64" s="58"/>
      <c r="N64" s="59"/>
      <c r="O64" s="58"/>
      <c r="P64" s="58"/>
      <c r="Q64" s="58"/>
      <c r="R64" s="58"/>
      <c r="S64" s="59"/>
      <c r="T64" s="60"/>
      <c r="U64" s="56"/>
      <c r="V64" s="58"/>
      <c r="W64" s="58"/>
      <c r="X64" s="51">
        <f>IF(tbControle[ReqC]="","",1/COUNTIF(tbControle[ReqC],tbControle[[#This Row],[ReqC]]))</f>
        <v>1</v>
      </c>
      <c r="Y64" s="51">
        <f ca="1">IF(OR(tbControle[Qtde ReqC]="",tbControle[Aging '[dias']]=""),"",tbControle[Qtde ReqC]*tbControle[Aging '[dias']])</f>
        <v>40</v>
      </c>
      <c r="Z64" s="51" t="str">
        <f>IF(OR(tbControle[[#This Row],[ReqC]]="",tbControle[[#This Row],[Item]]="",tbControle[[#This Row],[Data Transferência]]=""),"",_xlfn.CONCAT(tbControle[[#This Row],[ReqC]],"-",tbControle[[#This Row],[Item]],"-",tbControle[[#This Row],[Data Transferência]]))</f>
        <v>10111236-10-44000</v>
      </c>
      <c r="AA64" s="51">
        <f>IF(tbControle[Item Exclusívo]="","",1/COUNTIF(tbControle[Item Exclusívo],tbControle[[#This Row],[Item Exclusívo]]))</f>
        <v>1</v>
      </c>
      <c r="AB64" s="54">
        <f>IF(tbControle[Data Transferência]="","",MONTH(tbControle[Data Transferência]))</f>
        <v>6</v>
      </c>
      <c r="AC64" s="54">
        <f>IF(tbControle[Data Transferência]="","",YEAR(tbControle[Data Transferência]))</f>
        <v>2020</v>
      </c>
    </row>
    <row r="65" spans="1:29" ht="16.5" x14ac:dyDescent="0.25">
      <c r="A65" s="59">
        <v>10111237</v>
      </c>
      <c r="B65" s="55">
        <f ca="1">IF(tbControle[Data Inicial Comprador]="","",IF(tbControle[Data Final Comprador]="",TODAY()-tbControle[Data Transferência],tbControle[Data Final Comprador]-tbControle[Data Transferência]))</f>
        <v>3</v>
      </c>
      <c r="C65" s="56" t="s">
        <v>68</v>
      </c>
      <c r="D65" s="59">
        <v>50</v>
      </c>
      <c r="E65" s="57">
        <v>535186</v>
      </c>
      <c r="F65" s="57" t="s">
        <v>144</v>
      </c>
      <c r="G65" s="57">
        <v>1</v>
      </c>
      <c r="H65" s="60">
        <v>25.19</v>
      </c>
      <c r="I65" s="58">
        <v>44000</v>
      </c>
      <c r="J65" s="58">
        <v>44000</v>
      </c>
      <c r="K65" s="58" t="s">
        <v>7</v>
      </c>
      <c r="L65" s="58">
        <v>44003</v>
      </c>
      <c r="M65" s="58">
        <v>44000</v>
      </c>
      <c r="N65" s="59">
        <v>101</v>
      </c>
      <c r="O65" s="58" t="s">
        <v>187</v>
      </c>
      <c r="P65" s="58">
        <v>44002</v>
      </c>
      <c r="Q65" s="58"/>
      <c r="R65" s="58">
        <v>44002</v>
      </c>
      <c r="S65" s="59">
        <v>123457</v>
      </c>
      <c r="T65" s="60">
        <v>496.15</v>
      </c>
      <c r="U65" s="56" t="s">
        <v>188</v>
      </c>
      <c r="V65" s="58">
        <v>44003</v>
      </c>
      <c r="W65" s="58"/>
      <c r="X65" s="51">
        <f>IF(tbControle[ReqC]="","",1/COUNTIF(tbControle[ReqC],tbControle[[#This Row],[ReqC]]))</f>
        <v>0.14285714285714285</v>
      </c>
      <c r="Y65" s="51">
        <f ca="1">IF(OR(tbControle[Qtde ReqC]="",tbControle[Aging '[dias']]=""),"",tbControle[Qtde ReqC]*tbControle[Aging '[dias']])</f>
        <v>0.42857142857142855</v>
      </c>
      <c r="Z65" s="51" t="str">
        <f>IF(OR(tbControle[[#This Row],[ReqC]]="",tbControle[[#This Row],[Item]]="",tbControle[[#This Row],[Data Transferência]]=""),"",_xlfn.CONCAT(tbControle[[#This Row],[ReqC]],"-",tbControle[[#This Row],[Item]],"-",tbControle[[#This Row],[Data Transferência]]))</f>
        <v>10111237-50-44000</v>
      </c>
      <c r="AA65" s="51">
        <f>IF(tbControle[Item Exclusívo]="","",1/COUNTIF(tbControle[Item Exclusívo],tbControle[[#This Row],[Item Exclusívo]]))</f>
        <v>1</v>
      </c>
      <c r="AB65" s="54">
        <f>IF(tbControle[Data Transferência]="","",MONTH(tbControle[Data Transferência]))</f>
        <v>6</v>
      </c>
      <c r="AC65" s="54">
        <f>IF(tbControle[Data Transferência]="","",YEAR(tbControle[Data Transferência]))</f>
        <v>2020</v>
      </c>
    </row>
    <row r="66" spans="1:29" ht="16.5" x14ac:dyDescent="0.25">
      <c r="A66" s="59">
        <v>10111237</v>
      </c>
      <c r="B66" s="55">
        <f ca="1">IF(tbControle[Data Inicial Comprador]="","",IF(tbControle[Data Final Comprador]="",TODAY()-tbControle[Data Transferência],tbControle[Data Final Comprador]-tbControle[Data Transferência]))</f>
        <v>3</v>
      </c>
      <c r="C66" s="56" t="s">
        <v>68</v>
      </c>
      <c r="D66" s="59">
        <v>60</v>
      </c>
      <c r="E66" s="57">
        <v>520112</v>
      </c>
      <c r="F66" s="57" t="s">
        <v>145</v>
      </c>
      <c r="G66" s="57">
        <v>1</v>
      </c>
      <c r="H66" s="60">
        <v>16.5</v>
      </c>
      <c r="I66" s="58">
        <v>44000</v>
      </c>
      <c r="J66" s="58">
        <v>44000</v>
      </c>
      <c r="K66" s="58" t="s">
        <v>7</v>
      </c>
      <c r="L66" s="58">
        <v>44003</v>
      </c>
      <c r="M66" s="58">
        <v>44000</v>
      </c>
      <c r="N66" s="59">
        <v>101</v>
      </c>
      <c r="O66" s="58" t="s">
        <v>187</v>
      </c>
      <c r="P66" s="58">
        <v>44002</v>
      </c>
      <c r="Q66" s="58"/>
      <c r="R66" s="58">
        <v>44002</v>
      </c>
      <c r="S66" s="59">
        <v>123457</v>
      </c>
      <c r="T66" s="60">
        <v>78</v>
      </c>
      <c r="U66" s="56" t="s">
        <v>188</v>
      </c>
      <c r="V66" s="58">
        <v>44003</v>
      </c>
      <c r="W66" s="58"/>
      <c r="X66" s="51">
        <f>IF(tbControle[ReqC]="","",1/COUNTIF(tbControle[ReqC],tbControle[[#This Row],[ReqC]]))</f>
        <v>0.14285714285714285</v>
      </c>
      <c r="Y66" s="51">
        <f ca="1">IF(OR(tbControle[Qtde ReqC]="",tbControle[Aging '[dias']]=""),"",tbControle[Qtde ReqC]*tbControle[Aging '[dias']])</f>
        <v>0.42857142857142855</v>
      </c>
      <c r="Z66" s="51" t="str">
        <f>IF(OR(tbControle[[#This Row],[ReqC]]="",tbControle[[#This Row],[Item]]="",tbControle[[#This Row],[Data Transferência]]=""),"",_xlfn.CONCAT(tbControle[[#This Row],[ReqC]],"-",tbControle[[#This Row],[Item]],"-",tbControle[[#This Row],[Data Transferência]]))</f>
        <v>10111237-60-44000</v>
      </c>
      <c r="AA66" s="51">
        <f>IF(tbControle[Item Exclusívo]="","",1/COUNTIF(tbControle[Item Exclusívo],tbControle[[#This Row],[Item Exclusívo]]))</f>
        <v>1</v>
      </c>
      <c r="AB66" s="54">
        <f>IF(tbControle[Data Transferência]="","",MONTH(tbControle[Data Transferência]))</f>
        <v>6</v>
      </c>
      <c r="AC66" s="54">
        <f>IF(tbControle[Data Transferência]="","",YEAR(tbControle[Data Transferência]))</f>
        <v>2020</v>
      </c>
    </row>
    <row r="67" spans="1:29" ht="16.5" x14ac:dyDescent="0.25">
      <c r="A67" s="59">
        <v>10111237</v>
      </c>
      <c r="B67" s="55">
        <f ca="1">IF(tbControle[Data Inicial Comprador]="","",IF(tbControle[Data Final Comprador]="",TODAY()-tbControle[Data Transferência],tbControle[Data Final Comprador]-tbControle[Data Transferência]))</f>
        <v>3</v>
      </c>
      <c r="C67" s="56" t="s">
        <v>68</v>
      </c>
      <c r="D67" s="59">
        <v>70</v>
      </c>
      <c r="E67" s="57">
        <v>499504</v>
      </c>
      <c r="F67" s="57" t="s">
        <v>146</v>
      </c>
      <c r="G67" s="57">
        <v>1</v>
      </c>
      <c r="H67" s="60">
        <v>16.28</v>
      </c>
      <c r="I67" s="58">
        <v>44000</v>
      </c>
      <c r="J67" s="58">
        <v>44000</v>
      </c>
      <c r="K67" s="58" t="s">
        <v>7</v>
      </c>
      <c r="L67" s="58">
        <v>44003</v>
      </c>
      <c r="M67" s="58">
        <v>44000</v>
      </c>
      <c r="N67" s="59">
        <v>101</v>
      </c>
      <c r="O67" s="58" t="s">
        <v>187</v>
      </c>
      <c r="P67" s="58">
        <v>44002</v>
      </c>
      <c r="Q67" s="58"/>
      <c r="R67" s="58">
        <v>44002</v>
      </c>
      <c r="S67" s="59">
        <v>123457</v>
      </c>
      <c r="T67" s="60">
        <v>78</v>
      </c>
      <c r="U67" s="56" t="s">
        <v>188</v>
      </c>
      <c r="V67" s="58">
        <v>44003</v>
      </c>
      <c r="W67" s="58"/>
      <c r="X67" s="51">
        <f>IF(tbControle[ReqC]="","",1/COUNTIF(tbControle[ReqC],tbControle[[#This Row],[ReqC]]))</f>
        <v>0.14285714285714285</v>
      </c>
      <c r="Y67" s="51">
        <f ca="1">IF(OR(tbControle[Qtde ReqC]="",tbControle[Aging '[dias']]=""),"",tbControle[Qtde ReqC]*tbControle[Aging '[dias']])</f>
        <v>0.42857142857142855</v>
      </c>
      <c r="Z67" s="51" t="str">
        <f>IF(OR(tbControle[[#This Row],[ReqC]]="",tbControle[[#This Row],[Item]]="",tbControle[[#This Row],[Data Transferência]]=""),"",_xlfn.CONCAT(tbControle[[#This Row],[ReqC]],"-",tbControle[[#This Row],[Item]],"-",tbControle[[#This Row],[Data Transferência]]))</f>
        <v>10111237-70-44000</v>
      </c>
      <c r="AA67" s="51">
        <f>IF(tbControle[Item Exclusívo]="","",1/COUNTIF(tbControle[Item Exclusívo],tbControle[[#This Row],[Item Exclusívo]]))</f>
        <v>1</v>
      </c>
      <c r="AB67" s="54">
        <f>IF(tbControle[Data Transferência]="","",MONTH(tbControle[Data Transferência]))</f>
        <v>6</v>
      </c>
      <c r="AC67" s="54">
        <f>IF(tbControle[Data Transferência]="","",YEAR(tbControle[Data Transferência]))</f>
        <v>2020</v>
      </c>
    </row>
    <row r="68" spans="1:29" ht="16.5" x14ac:dyDescent="0.25">
      <c r="A68" s="59">
        <v>10111237</v>
      </c>
      <c r="B68" s="55">
        <f ca="1">IF(tbControle[Data Inicial Comprador]="","",IF(tbControle[Data Final Comprador]="",TODAY()-tbControle[Data Transferência],tbControle[Data Final Comprador]-tbControle[Data Transferência]))</f>
        <v>3</v>
      </c>
      <c r="C68" s="56" t="s">
        <v>68</v>
      </c>
      <c r="D68" s="59">
        <v>80</v>
      </c>
      <c r="E68" s="57">
        <v>520112</v>
      </c>
      <c r="F68" s="57" t="s">
        <v>145</v>
      </c>
      <c r="G68" s="57">
        <v>1</v>
      </c>
      <c r="H68" s="60">
        <v>16.5</v>
      </c>
      <c r="I68" s="58">
        <v>44000</v>
      </c>
      <c r="J68" s="58">
        <v>44000</v>
      </c>
      <c r="K68" s="58" t="s">
        <v>7</v>
      </c>
      <c r="L68" s="58">
        <v>44003</v>
      </c>
      <c r="M68" s="58">
        <v>44000</v>
      </c>
      <c r="N68" s="59">
        <v>101</v>
      </c>
      <c r="O68" s="58" t="s">
        <v>187</v>
      </c>
      <c r="P68" s="58">
        <v>44002</v>
      </c>
      <c r="Q68" s="58"/>
      <c r="R68" s="58">
        <v>44002</v>
      </c>
      <c r="S68" s="59">
        <v>123457</v>
      </c>
      <c r="T68" s="60">
        <v>78</v>
      </c>
      <c r="U68" s="56" t="s">
        <v>188</v>
      </c>
      <c r="V68" s="58">
        <v>44003</v>
      </c>
      <c r="W68" s="58"/>
      <c r="X68" s="51">
        <f>IF(tbControle[ReqC]="","",1/COUNTIF(tbControle[ReqC],tbControle[[#This Row],[ReqC]]))</f>
        <v>0.14285714285714285</v>
      </c>
      <c r="Y68" s="51">
        <f ca="1">IF(OR(tbControle[Qtde ReqC]="",tbControle[Aging '[dias']]=""),"",tbControle[Qtde ReqC]*tbControle[Aging '[dias']])</f>
        <v>0.42857142857142855</v>
      </c>
      <c r="Z68" s="51" t="str">
        <f>IF(OR(tbControle[[#This Row],[ReqC]]="",tbControle[[#This Row],[Item]]="",tbControle[[#This Row],[Data Transferência]]=""),"",_xlfn.CONCAT(tbControle[[#This Row],[ReqC]],"-",tbControle[[#This Row],[Item]],"-",tbControle[[#This Row],[Data Transferência]]))</f>
        <v>10111237-80-44000</v>
      </c>
      <c r="AA68" s="51">
        <f>IF(tbControle[Item Exclusívo]="","",1/COUNTIF(tbControle[Item Exclusívo],tbControle[[#This Row],[Item Exclusívo]]))</f>
        <v>1</v>
      </c>
      <c r="AB68" s="54">
        <f>IF(tbControle[Data Transferência]="","",MONTH(tbControle[Data Transferência]))</f>
        <v>6</v>
      </c>
      <c r="AC68" s="54">
        <f>IF(tbControle[Data Transferência]="","",YEAR(tbControle[Data Transferência]))</f>
        <v>2020</v>
      </c>
    </row>
    <row r="69" spans="1:29" ht="16.5" x14ac:dyDescent="0.25">
      <c r="A69" s="59">
        <v>10111237</v>
      </c>
      <c r="B69" s="55">
        <f ca="1">IF(tbControle[Data Inicial Comprador]="","",IF(tbControle[Data Final Comprador]="",TODAY()-tbControle[Data Transferência],tbControle[Data Final Comprador]-tbControle[Data Transferência]))</f>
        <v>3</v>
      </c>
      <c r="C69" s="56" t="s">
        <v>68</v>
      </c>
      <c r="D69" s="59">
        <v>90</v>
      </c>
      <c r="E69" s="57">
        <v>317867</v>
      </c>
      <c r="F69" s="57" t="s">
        <v>147</v>
      </c>
      <c r="G69" s="57">
        <v>4</v>
      </c>
      <c r="H69" s="60">
        <v>86.52</v>
      </c>
      <c r="I69" s="58">
        <v>44000</v>
      </c>
      <c r="J69" s="58">
        <v>44000</v>
      </c>
      <c r="K69" s="58" t="s">
        <v>7</v>
      </c>
      <c r="L69" s="58">
        <v>44003</v>
      </c>
      <c r="M69" s="58">
        <v>44000</v>
      </c>
      <c r="N69" s="59">
        <v>101</v>
      </c>
      <c r="O69" s="58" t="s">
        <v>187</v>
      </c>
      <c r="P69" s="58">
        <v>44002</v>
      </c>
      <c r="Q69" s="58"/>
      <c r="R69" s="58">
        <v>44002</v>
      </c>
      <c r="S69" s="59">
        <v>123457</v>
      </c>
      <c r="T69" s="60">
        <v>62.6</v>
      </c>
      <c r="U69" s="56" t="s">
        <v>188</v>
      </c>
      <c r="V69" s="58">
        <v>44003</v>
      </c>
      <c r="W69" s="58"/>
      <c r="X69" s="51">
        <f>IF(tbControle[ReqC]="","",1/COUNTIF(tbControle[ReqC],tbControle[[#This Row],[ReqC]]))</f>
        <v>0.14285714285714285</v>
      </c>
      <c r="Y69" s="51">
        <f ca="1">IF(OR(tbControle[Qtde ReqC]="",tbControle[Aging '[dias']]=""),"",tbControle[Qtde ReqC]*tbControle[Aging '[dias']])</f>
        <v>0.42857142857142855</v>
      </c>
      <c r="Z69" s="51" t="str">
        <f>IF(OR(tbControle[[#This Row],[ReqC]]="",tbControle[[#This Row],[Item]]="",tbControle[[#This Row],[Data Transferência]]=""),"",_xlfn.CONCAT(tbControle[[#This Row],[ReqC]],"-",tbControle[[#This Row],[Item]],"-",tbControle[[#This Row],[Data Transferência]]))</f>
        <v>10111237-90-44000</v>
      </c>
      <c r="AA69" s="51">
        <f>IF(tbControle[Item Exclusívo]="","",1/COUNTIF(tbControle[Item Exclusívo],tbControle[[#This Row],[Item Exclusívo]]))</f>
        <v>1</v>
      </c>
      <c r="AB69" s="54">
        <f>IF(tbControle[Data Transferência]="","",MONTH(tbControle[Data Transferência]))</f>
        <v>6</v>
      </c>
      <c r="AC69" s="54">
        <f>IF(tbControle[Data Transferência]="","",YEAR(tbControle[Data Transferência]))</f>
        <v>2020</v>
      </c>
    </row>
    <row r="70" spans="1:29" ht="16.5" x14ac:dyDescent="0.25">
      <c r="A70" s="59">
        <v>10111237</v>
      </c>
      <c r="B70" s="55">
        <f ca="1">IF(tbControle[Data Inicial Comprador]="","",IF(tbControle[Data Final Comprador]="",TODAY()-tbControle[Data Transferência],tbControle[Data Final Comprador]-tbControle[Data Transferência]))</f>
        <v>3</v>
      </c>
      <c r="C70" s="56" t="s">
        <v>68</v>
      </c>
      <c r="D70" s="59">
        <v>110</v>
      </c>
      <c r="E70" s="57">
        <v>227393</v>
      </c>
      <c r="F70" s="57" t="s">
        <v>148</v>
      </c>
      <c r="G70" s="57">
        <v>4</v>
      </c>
      <c r="H70" s="60">
        <v>52.8</v>
      </c>
      <c r="I70" s="58">
        <v>44000</v>
      </c>
      <c r="J70" s="58">
        <v>44000</v>
      </c>
      <c r="K70" s="58" t="s">
        <v>7</v>
      </c>
      <c r="L70" s="58">
        <v>44003</v>
      </c>
      <c r="M70" s="58">
        <v>44000</v>
      </c>
      <c r="N70" s="59">
        <v>101</v>
      </c>
      <c r="O70" s="58" t="s">
        <v>187</v>
      </c>
      <c r="P70" s="58">
        <v>44002</v>
      </c>
      <c r="Q70" s="58"/>
      <c r="R70" s="58">
        <v>44002</v>
      </c>
      <c r="S70" s="59">
        <v>123457</v>
      </c>
      <c r="T70" s="60">
        <v>313</v>
      </c>
      <c r="U70" s="56" t="s">
        <v>188</v>
      </c>
      <c r="V70" s="58">
        <v>44003</v>
      </c>
      <c r="W70" s="58"/>
      <c r="X70" s="51">
        <f>IF(tbControle[ReqC]="","",1/COUNTIF(tbControle[ReqC],tbControle[[#This Row],[ReqC]]))</f>
        <v>0.14285714285714285</v>
      </c>
      <c r="Y70" s="51">
        <f ca="1">IF(OR(tbControle[Qtde ReqC]="",tbControle[Aging '[dias']]=""),"",tbControle[Qtde ReqC]*tbControle[Aging '[dias']])</f>
        <v>0.42857142857142855</v>
      </c>
      <c r="Z70" s="51" t="str">
        <f>IF(OR(tbControle[[#This Row],[ReqC]]="",tbControle[[#This Row],[Item]]="",tbControle[[#This Row],[Data Transferência]]=""),"",_xlfn.CONCAT(tbControle[[#This Row],[ReqC]],"-",tbControle[[#This Row],[Item]],"-",tbControle[[#This Row],[Data Transferência]]))</f>
        <v>10111237-110-44000</v>
      </c>
      <c r="AA70" s="51">
        <f>IF(tbControle[Item Exclusívo]="","",1/COUNTIF(tbControle[Item Exclusívo],tbControle[[#This Row],[Item Exclusívo]]))</f>
        <v>1</v>
      </c>
      <c r="AB70" s="54">
        <f>IF(tbControle[Data Transferência]="","",MONTH(tbControle[Data Transferência]))</f>
        <v>6</v>
      </c>
      <c r="AC70" s="54">
        <f>IF(tbControle[Data Transferência]="","",YEAR(tbControle[Data Transferência]))</f>
        <v>2020</v>
      </c>
    </row>
    <row r="71" spans="1:29" ht="16.5" x14ac:dyDescent="0.25">
      <c r="A71" s="59">
        <v>10111237</v>
      </c>
      <c r="B71" s="55">
        <f ca="1">IF(tbControle[Data Inicial Comprador]="","",IF(tbControle[Data Final Comprador]="",TODAY()-tbControle[Data Transferência],tbControle[Data Final Comprador]-tbControle[Data Transferência]))</f>
        <v>3</v>
      </c>
      <c r="C71" s="56" t="s">
        <v>68</v>
      </c>
      <c r="D71" s="59">
        <v>120</v>
      </c>
      <c r="E71" s="57">
        <v>167586</v>
      </c>
      <c r="F71" s="57" t="s">
        <v>149</v>
      </c>
      <c r="G71" s="57">
        <v>1</v>
      </c>
      <c r="H71" s="60">
        <v>9.49</v>
      </c>
      <c r="I71" s="58">
        <v>44000</v>
      </c>
      <c r="J71" s="58">
        <v>44000</v>
      </c>
      <c r="K71" s="58" t="s">
        <v>7</v>
      </c>
      <c r="L71" s="58">
        <v>44003</v>
      </c>
      <c r="M71" s="58">
        <v>44000</v>
      </c>
      <c r="N71" s="59">
        <v>101</v>
      </c>
      <c r="O71" s="58" t="s">
        <v>187</v>
      </c>
      <c r="P71" s="58">
        <v>44002</v>
      </c>
      <c r="Q71" s="58"/>
      <c r="R71" s="58">
        <v>44002</v>
      </c>
      <c r="S71" s="59">
        <v>123457</v>
      </c>
      <c r="T71" s="60">
        <v>90</v>
      </c>
      <c r="U71" s="56" t="s">
        <v>188</v>
      </c>
      <c r="V71" s="58">
        <v>44003</v>
      </c>
      <c r="W71" s="58"/>
      <c r="X71" s="51">
        <f>IF(tbControle[ReqC]="","",1/COUNTIF(tbControle[ReqC],tbControle[[#This Row],[ReqC]]))</f>
        <v>0.14285714285714285</v>
      </c>
      <c r="Y71" s="51">
        <f ca="1">IF(OR(tbControle[Qtde ReqC]="",tbControle[Aging '[dias']]=""),"",tbControle[Qtde ReqC]*tbControle[Aging '[dias']])</f>
        <v>0.42857142857142855</v>
      </c>
      <c r="Z71" s="51" t="str">
        <f>IF(OR(tbControle[[#This Row],[ReqC]]="",tbControle[[#This Row],[Item]]="",tbControle[[#This Row],[Data Transferência]]=""),"",_xlfn.CONCAT(tbControle[[#This Row],[ReqC]],"-",tbControle[[#This Row],[Item]],"-",tbControle[[#This Row],[Data Transferência]]))</f>
        <v>10111237-120-44000</v>
      </c>
      <c r="AA71" s="51">
        <f>IF(tbControle[Item Exclusívo]="","",1/COUNTIF(tbControle[Item Exclusívo],tbControle[[#This Row],[Item Exclusívo]]))</f>
        <v>1</v>
      </c>
      <c r="AB71" s="54">
        <f>IF(tbControle[Data Transferência]="","",MONTH(tbControle[Data Transferência]))</f>
        <v>6</v>
      </c>
      <c r="AC71" s="54">
        <f>IF(tbControle[Data Transferência]="","",YEAR(tbControle[Data Transferência]))</f>
        <v>2020</v>
      </c>
    </row>
    <row r="72" spans="1:29" ht="16.5" x14ac:dyDescent="0.25">
      <c r="A72" s="59">
        <v>10111238</v>
      </c>
      <c r="B72" s="55">
        <f ca="1">IF(tbControle[Data Inicial Comprador]="","",IF(tbControle[Data Final Comprador]="",TODAY()-tbControle[Data Transferência],tbControle[Data Final Comprador]-tbControle[Data Transferência]))</f>
        <v>3</v>
      </c>
      <c r="C72" s="56" t="s">
        <v>71</v>
      </c>
      <c r="D72" s="59">
        <v>10</v>
      </c>
      <c r="E72" s="57">
        <v>294208</v>
      </c>
      <c r="F72" s="57" t="s">
        <v>150</v>
      </c>
      <c r="G72" s="57">
        <v>1</v>
      </c>
      <c r="H72" s="60">
        <v>246.52</v>
      </c>
      <c r="I72" s="58">
        <v>44000</v>
      </c>
      <c r="J72" s="58">
        <v>44000</v>
      </c>
      <c r="K72" s="58" t="s">
        <v>7</v>
      </c>
      <c r="L72" s="58">
        <v>44003</v>
      </c>
      <c r="M72" s="58">
        <v>44000</v>
      </c>
      <c r="N72" s="59">
        <v>150</v>
      </c>
      <c r="O72" s="58" t="s">
        <v>187</v>
      </c>
      <c r="P72" s="58">
        <v>44002</v>
      </c>
      <c r="Q72" s="58"/>
      <c r="R72" s="58">
        <v>44003</v>
      </c>
      <c r="S72" s="59">
        <v>526341</v>
      </c>
      <c r="T72" s="60">
        <v>132.41</v>
      </c>
      <c r="U72" s="56" t="s">
        <v>188</v>
      </c>
      <c r="V72" s="58">
        <v>44003</v>
      </c>
      <c r="W72" s="58"/>
      <c r="X72" s="51">
        <f>IF(tbControle[ReqC]="","",1/COUNTIF(tbControle[ReqC],tbControle[[#This Row],[ReqC]]))</f>
        <v>3.8461538461538464E-2</v>
      </c>
      <c r="Y72" s="51">
        <f ca="1">IF(OR(tbControle[Qtde ReqC]="",tbControle[Aging '[dias']]=""),"",tbControle[Qtde ReqC]*tbControle[Aging '[dias']])</f>
        <v>0.11538461538461539</v>
      </c>
      <c r="Z72" s="51" t="str">
        <f>IF(OR(tbControle[[#This Row],[ReqC]]="",tbControle[[#This Row],[Item]]="",tbControle[[#This Row],[Data Transferência]]=""),"",_xlfn.CONCAT(tbControle[[#This Row],[ReqC]],"-",tbControle[[#This Row],[Item]],"-",tbControle[[#This Row],[Data Transferência]]))</f>
        <v>10111238-10-44000</v>
      </c>
      <c r="AA72" s="51">
        <f>IF(tbControle[Item Exclusívo]="","",1/COUNTIF(tbControle[Item Exclusívo],tbControle[[#This Row],[Item Exclusívo]]))</f>
        <v>1</v>
      </c>
      <c r="AB72" s="54">
        <f>IF(tbControle[Data Transferência]="","",MONTH(tbControle[Data Transferência]))</f>
        <v>6</v>
      </c>
      <c r="AC72" s="54">
        <f>IF(tbControle[Data Transferência]="","",YEAR(tbControle[Data Transferência]))</f>
        <v>2020</v>
      </c>
    </row>
    <row r="73" spans="1:29" ht="16.5" x14ac:dyDescent="0.25">
      <c r="A73" s="59">
        <v>10111238</v>
      </c>
      <c r="B73" s="55">
        <f ca="1">IF(tbControle[Data Inicial Comprador]="","",IF(tbControle[Data Final Comprador]="",TODAY()-tbControle[Data Transferência],tbControle[Data Final Comprador]-tbControle[Data Transferência]))</f>
        <v>3</v>
      </c>
      <c r="C73" s="56" t="s">
        <v>71</v>
      </c>
      <c r="D73" s="59">
        <v>20</v>
      </c>
      <c r="E73" s="57">
        <v>180959</v>
      </c>
      <c r="F73" s="57" t="s">
        <v>152</v>
      </c>
      <c r="G73" s="57">
        <v>10</v>
      </c>
      <c r="H73" s="60">
        <v>276.89999999999998</v>
      </c>
      <c r="I73" s="58">
        <v>44000</v>
      </c>
      <c r="J73" s="58">
        <v>44000</v>
      </c>
      <c r="K73" s="58" t="s">
        <v>7</v>
      </c>
      <c r="L73" s="58">
        <v>44003</v>
      </c>
      <c r="M73" s="58">
        <v>44000</v>
      </c>
      <c r="N73" s="59">
        <v>150</v>
      </c>
      <c r="O73" s="58" t="s">
        <v>187</v>
      </c>
      <c r="P73" s="58">
        <v>44002</v>
      </c>
      <c r="Q73" s="58"/>
      <c r="R73" s="58">
        <v>44003</v>
      </c>
      <c r="S73" s="59">
        <v>526341</v>
      </c>
      <c r="T73" s="60">
        <v>591.16</v>
      </c>
      <c r="U73" s="56" t="s">
        <v>188</v>
      </c>
      <c r="V73" s="58">
        <v>44003</v>
      </c>
      <c r="W73" s="58"/>
      <c r="X73" s="51">
        <f>IF(tbControle[ReqC]="","",1/COUNTIF(tbControle[ReqC],tbControle[[#This Row],[ReqC]]))</f>
        <v>3.8461538461538464E-2</v>
      </c>
      <c r="Y73" s="51">
        <f ca="1">IF(OR(tbControle[Qtde ReqC]="",tbControle[Aging '[dias']]=""),"",tbControle[Qtde ReqC]*tbControle[Aging '[dias']])</f>
        <v>0.11538461538461539</v>
      </c>
      <c r="Z73" s="51" t="str">
        <f>IF(OR(tbControle[[#This Row],[ReqC]]="",tbControle[[#This Row],[Item]]="",tbControle[[#This Row],[Data Transferência]]=""),"",_xlfn.CONCAT(tbControle[[#This Row],[ReqC]],"-",tbControle[[#This Row],[Item]],"-",tbControle[[#This Row],[Data Transferência]]))</f>
        <v>10111238-20-44000</v>
      </c>
      <c r="AA73" s="51">
        <f>IF(tbControle[Item Exclusívo]="","",1/COUNTIF(tbControle[Item Exclusívo],tbControle[[#This Row],[Item Exclusívo]]))</f>
        <v>1</v>
      </c>
      <c r="AB73" s="54">
        <f>IF(tbControle[Data Transferência]="","",MONTH(tbControle[Data Transferência]))</f>
        <v>6</v>
      </c>
      <c r="AC73" s="54">
        <f>IF(tbControle[Data Transferência]="","",YEAR(tbControle[Data Transferência]))</f>
        <v>2020</v>
      </c>
    </row>
    <row r="74" spans="1:29" ht="16.5" x14ac:dyDescent="0.25">
      <c r="A74" s="59">
        <v>10111238</v>
      </c>
      <c r="B74" s="55">
        <f ca="1">IF(tbControle[Data Inicial Comprador]="","",IF(tbControle[Data Final Comprador]="",TODAY()-tbControle[Data Transferência],tbControle[Data Final Comprador]-tbControle[Data Transferência]))</f>
        <v>3</v>
      </c>
      <c r="C74" s="56" t="s">
        <v>71</v>
      </c>
      <c r="D74" s="59">
        <v>30</v>
      </c>
      <c r="E74" s="57">
        <v>313438</v>
      </c>
      <c r="F74" s="57" t="s">
        <v>153</v>
      </c>
      <c r="G74" s="57">
        <v>10</v>
      </c>
      <c r="H74" s="60">
        <v>500</v>
      </c>
      <c r="I74" s="58">
        <v>44000</v>
      </c>
      <c r="J74" s="58">
        <v>44000</v>
      </c>
      <c r="K74" s="58" t="s">
        <v>7</v>
      </c>
      <c r="L74" s="58">
        <v>44003</v>
      </c>
      <c r="M74" s="58">
        <v>44000</v>
      </c>
      <c r="N74" s="59">
        <v>150</v>
      </c>
      <c r="O74" s="58" t="s">
        <v>187</v>
      </c>
      <c r="P74" s="58">
        <v>44002</v>
      </c>
      <c r="Q74" s="58"/>
      <c r="R74" s="58">
        <v>44003</v>
      </c>
      <c r="S74" s="59">
        <v>526341</v>
      </c>
      <c r="T74" s="60">
        <v>234</v>
      </c>
      <c r="U74" s="56" t="s">
        <v>188</v>
      </c>
      <c r="V74" s="58">
        <v>44003</v>
      </c>
      <c r="W74" s="58"/>
      <c r="X74" s="51">
        <f>IF(tbControle[ReqC]="","",1/COUNTIF(tbControle[ReqC],tbControle[[#This Row],[ReqC]]))</f>
        <v>3.8461538461538464E-2</v>
      </c>
      <c r="Y74" s="51">
        <f ca="1">IF(OR(tbControle[Qtde ReqC]="",tbControle[Aging '[dias']]=""),"",tbControle[Qtde ReqC]*tbControle[Aging '[dias']])</f>
        <v>0.11538461538461539</v>
      </c>
      <c r="Z74" s="51" t="str">
        <f>IF(OR(tbControle[[#This Row],[ReqC]]="",tbControle[[#This Row],[Item]]="",tbControle[[#This Row],[Data Transferência]]=""),"",_xlfn.CONCAT(tbControle[[#This Row],[ReqC]],"-",tbControle[[#This Row],[Item]],"-",tbControle[[#This Row],[Data Transferência]]))</f>
        <v>10111238-30-44000</v>
      </c>
      <c r="AA74" s="51">
        <f>IF(tbControle[Item Exclusívo]="","",1/COUNTIF(tbControle[Item Exclusívo],tbControle[[#This Row],[Item Exclusívo]]))</f>
        <v>1</v>
      </c>
      <c r="AB74" s="54">
        <f>IF(tbControle[Data Transferência]="","",MONTH(tbControle[Data Transferência]))</f>
        <v>6</v>
      </c>
      <c r="AC74" s="54">
        <f>IF(tbControle[Data Transferência]="","",YEAR(tbControle[Data Transferência]))</f>
        <v>2020</v>
      </c>
    </row>
    <row r="75" spans="1:29" ht="16.5" x14ac:dyDescent="0.25">
      <c r="A75" s="59">
        <v>10111238</v>
      </c>
      <c r="B75" s="55">
        <f ca="1">IF(tbControle[Data Inicial Comprador]="","",IF(tbControle[Data Final Comprador]="",TODAY()-tbControle[Data Transferência],tbControle[Data Final Comprador]-tbControle[Data Transferência]))</f>
        <v>3</v>
      </c>
      <c r="C75" s="56" t="s">
        <v>71</v>
      </c>
      <c r="D75" s="59">
        <v>40</v>
      </c>
      <c r="E75" s="57">
        <v>468185</v>
      </c>
      <c r="F75" s="57" t="s">
        <v>154</v>
      </c>
      <c r="G75" s="57">
        <v>10</v>
      </c>
      <c r="H75" s="60">
        <v>611</v>
      </c>
      <c r="I75" s="58">
        <v>44000</v>
      </c>
      <c r="J75" s="58">
        <v>44000</v>
      </c>
      <c r="K75" s="58" t="s">
        <v>7</v>
      </c>
      <c r="L75" s="58">
        <v>44003</v>
      </c>
      <c r="M75" s="58">
        <v>44000</v>
      </c>
      <c r="N75" s="59">
        <v>150</v>
      </c>
      <c r="O75" s="58" t="s">
        <v>187</v>
      </c>
      <c r="P75" s="58">
        <v>44002</v>
      </c>
      <c r="Q75" s="58"/>
      <c r="R75" s="58">
        <v>44003</v>
      </c>
      <c r="S75" s="59">
        <v>526341</v>
      </c>
      <c r="T75" s="60">
        <v>306.54000000000002</v>
      </c>
      <c r="U75" s="56" t="s">
        <v>188</v>
      </c>
      <c r="V75" s="58">
        <v>44003</v>
      </c>
      <c r="W75" s="58"/>
      <c r="X75" s="51">
        <f>IF(tbControle[ReqC]="","",1/COUNTIF(tbControle[ReqC],tbControle[[#This Row],[ReqC]]))</f>
        <v>3.8461538461538464E-2</v>
      </c>
      <c r="Y75" s="51">
        <f ca="1">IF(OR(tbControle[Qtde ReqC]="",tbControle[Aging '[dias']]=""),"",tbControle[Qtde ReqC]*tbControle[Aging '[dias']])</f>
        <v>0.11538461538461539</v>
      </c>
      <c r="Z75" s="51" t="str">
        <f>IF(OR(tbControle[[#This Row],[ReqC]]="",tbControle[[#This Row],[Item]]="",tbControle[[#This Row],[Data Transferência]]=""),"",_xlfn.CONCAT(tbControle[[#This Row],[ReqC]],"-",tbControle[[#This Row],[Item]],"-",tbControle[[#This Row],[Data Transferência]]))</f>
        <v>10111238-40-44000</v>
      </c>
      <c r="AA75" s="51">
        <f>IF(tbControle[Item Exclusívo]="","",1/COUNTIF(tbControle[Item Exclusívo],tbControle[[#This Row],[Item Exclusívo]]))</f>
        <v>1</v>
      </c>
      <c r="AB75" s="54">
        <f>IF(tbControle[Data Transferência]="","",MONTH(tbControle[Data Transferência]))</f>
        <v>6</v>
      </c>
      <c r="AC75" s="54">
        <f>IF(tbControle[Data Transferência]="","",YEAR(tbControle[Data Transferência]))</f>
        <v>2020</v>
      </c>
    </row>
    <row r="76" spans="1:29" ht="16.5" x14ac:dyDescent="0.25">
      <c r="A76" s="59">
        <v>10111238</v>
      </c>
      <c r="B76" s="55">
        <f ca="1">IF(tbControle[Data Inicial Comprador]="","",IF(tbControle[Data Final Comprador]="",TODAY()-tbControle[Data Transferência],tbControle[Data Final Comprador]-tbControle[Data Transferência]))</f>
        <v>3</v>
      </c>
      <c r="C76" s="56" t="s">
        <v>71</v>
      </c>
      <c r="D76" s="59">
        <v>50</v>
      </c>
      <c r="E76" s="57">
        <v>468183</v>
      </c>
      <c r="F76" s="57" t="s">
        <v>155</v>
      </c>
      <c r="G76" s="57">
        <v>10</v>
      </c>
      <c r="H76" s="60">
        <v>611</v>
      </c>
      <c r="I76" s="58">
        <v>44000</v>
      </c>
      <c r="J76" s="58">
        <v>44000</v>
      </c>
      <c r="K76" s="58" t="s">
        <v>7</v>
      </c>
      <c r="L76" s="58">
        <v>44003</v>
      </c>
      <c r="M76" s="58">
        <v>44000</v>
      </c>
      <c r="N76" s="59">
        <v>150</v>
      </c>
      <c r="O76" s="58" t="s">
        <v>187</v>
      </c>
      <c r="P76" s="58">
        <v>44002</v>
      </c>
      <c r="Q76" s="58"/>
      <c r="R76" s="58">
        <v>44003</v>
      </c>
      <c r="S76" s="59">
        <v>526341</v>
      </c>
      <c r="T76" s="60">
        <v>3250</v>
      </c>
      <c r="U76" s="56" t="s">
        <v>188</v>
      </c>
      <c r="V76" s="58">
        <v>44003</v>
      </c>
      <c r="W76" s="58"/>
      <c r="X76" s="51">
        <f>IF(tbControle[ReqC]="","",1/COUNTIF(tbControle[ReqC],tbControle[[#This Row],[ReqC]]))</f>
        <v>3.8461538461538464E-2</v>
      </c>
      <c r="Y76" s="51">
        <f ca="1">IF(OR(tbControle[Qtde ReqC]="",tbControle[Aging '[dias']]=""),"",tbControle[Qtde ReqC]*tbControle[Aging '[dias']])</f>
        <v>0.11538461538461539</v>
      </c>
      <c r="Z76" s="51" t="str">
        <f>IF(OR(tbControle[[#This Row],[ReqC]]="",tbControle[[#This Row],[Item]]="",tbControle[[#This Row],[Data Transferência]]=""),"",_xlfn.CONCAT(tbControle[[#This Row],[ReqC]],"-",tbControle[[#This Row],[Item]],"-",tbControle[[#This Row],[Data Transferência]]))</f>
        <v>10111238-50-44000</v>
      </c>
      <c r="AA76" s="51">
        <f>IF(tbControle[Item Exclusívo]="","",1/COUNTIF(tbControle[Item Exclusívo],tbControle[[#This Row],[Item Exclusívo]]))</f>
        <v>1</v>
      </c>
      <c r="AB76" s="54">
        <f>IF(tbControle[Data Transferência]="","",MONTH(tbControle[Data Transferência]))</f>
        <v>6</v>
      </c>
      <c r="AC76" s="54">
        <f>IF(tbControle[Data Transferência]="","",YEAR(tbControle[Data Transferência]))</f>
        <v>2020</v>
      </c>
    </row>
    <row r="77" spans="1:29" ht="16.5" x14ac:dyDescent="0.25">
      <c r="A77" s="59">
        <v>10111238</v>
      </c>
      <c r="B77" s="55">
        <f ca="1">IF(tbControle[Data Inicial Comprador]="","",IF(tbControle[Data Final Comprador]="",TODAY()-tbControle[Data Transferência],tbControle[Data Final Comprador]-tbControle[Data Transferência]))</f>
        <v>3</v>
      </c>
      <c r="C77" s="56" t="s">
        <v>71</v>
      </c>
      <c r="D77" s="59">
        <v>60</v>
      </c>
      <c r="E77" s="57">
        <v>468184</v>
      </c>
      <c r="F77" s="57" t="s">
        <v>156</v>
      </c>
      <c r="G77" s="57">
        <v>10</v>
      </c>
      <c r="H77" s="60">
        <v>611</v>
      </c>
      <c r="I77" s="58">
        <v>44000</v>
      </c>
      <c r="J77" s="58">
        <v>44000</v>
      </c>
      <c r="K77" s="58" t="s">
        <v>7</v>
      </c>
      <c r="L77" s="58">
        <v>44003</v>
      </c>
      <c r="M77" s="58">
        <v>44000</v>
      </c>
      <c r="N77" s="59">
        <v>150</v>
      </c>
      <c r="O77" s="58" t="s">
        <v>187</v>
      </c>
      <c r="P77" s="58">
        <v>44002</v>
      </c>
      <c r="Q77" s="58"/>
      <c r="R77" s="58">
        <v>44003</v>
      </c>
      <c r="S77" s="59">
        <v>526341</v>
      </c>
      <c r="T77" s="60">
        <v>1844.96</v>
      </c>
      <c r="U77" s="56" t="s">
        <v>188</v>
      </c>
      <c r="V77" s="58">
        <v>44003</v>
      </c>
      <c r="W77" s="58"/>
      <c r="X77" s="51">
        <f>IF(tbControle[ReqC]="","",1/COUNTIF(tbControle[ReqC],tbControle[[#This Row],[ReqC]]))</f>
        <v>3.8461538461538464E-2</v>
      </c>
      <c r="Y77" s="51">
        <f ca="1">IF(OR(tbControle[Qtde ReqC]="",tbControle[Aging '[dias']]=""),"",tbControle[Qtde ReqC]*tbControle[Aging '[dias']])</f>
        <v>0.11538461538461539</v>
      </c>
      <c r="Z77" s="51" t="str">
        <f>IF(OR(tbControle[[#This Row],[ReqC]]="",tbControle[[#This Row],[Item]]="",tbControle[[#This Row],[Data Transferência]]=""),"",_xlfn.CONCAT(tbControle[[#This Row],[ReqC]],"-",tbControle[[#This Row],[Item]],"-",tbControle[[#This Row],[Data Transferência]]))</f>
        <v>10111238-60-44000</v>
      </c>
      <c r="AA77" s="51">
        <f>IF(tbControle[Item Exclusívo]="","",1/COUNTIF(tbControle[Item Exclusívo],tbControle[[#This Row],[Item Exclusívo]]))</f>
        <v>1</v>
      </c>
      <c r="AB77" s="54">
        <f>IF(tbControle[Data Transferência]="","",MONTH(tbControle[Data Transferência]))</f>
        <v>6</v>
      </c>
      <c r="AC77" s="54">
        <f>IF(tbControle[Data Transferência]="","",YEAR(tbControle[Data Transferência]))</f>
        <v>2020</v>
      </c>
    </row>
    <row r="78" spans="1:29" ht="16.5" x14ac:dyDescent="0.25">
      <c r="A78" s="59">
        <v>10111238</v>
      </c>
      <c r="B78" s="55">
        <f ca="1">IF(tbControle[Data Inicial Comprador]="","",IF(tbControle[Data Final Comprador]="",TODAY()-tbControle[Data Transferência],tbControle[Data Final Comprador]-tbControle[Data Transferência]))</f>
        <v>3</v>
      </c>
      <c r="C78" s="56" t="s">
        <v>71</v>
      </c>
      <c r="D78" s="59">
        <v>70</v>
      </c>
      <c r="E78" s="57">
        <v>266944</v>
      </c>
      <c r="F78" s="57" t="s">
        <v>157</v>
      </c>
      <c r="G78" s="57">
        <v>1</v>
      </c>
      <c r="H78" s="60">
        <v>6500</v>
      </c>
      <c r="I78" s="58">
        <v>44000</v>
      </c>
      <c r="J78" s="58">
        <v>44000</v>
      </c>
      <c r="K78" s="58" t="s">
        <v>7</v>
      </c>
      <c r="L78" s="58">
        <v>44003</v>
      </c>
      <c r="M78" s="58">
        <v>44000</v>
      </c>
      <c r="N78" s="59">
        <v>150</v>
      </c>
      <c r="O78" s="58" t="s">
        <v>187</v>
      </c>
      <c r="P78" s="58">
        <v>44002</v>
      </c>
      <c r="Q78" s="58"/>
      <c r="R78" s="58">
        <v>44003</v>
      </c>
      <c r="S78" s="59">
        <v>526341</v>
      </c>
      <c r="T78" s="60">
        <v>353.6</v>
      </c>
      <c r="U78" s="56" t="s">
        <v>188</v>
      </c>
      <c r="V78" s="58">
        <v>44003</v>
      </c>
      <c r="W78" s="58"/>
      <c r="X78" s="51">
        <f>IF(tbControle[ReqC]="","",1/COUNTIF(tbControle[ReqC],tbControle[[#This Row],[ReqC]]))</f>
        <v>3.8461538461538464E-2</v>
      </c>
      <c r="Y78" s="51">
        <f ca="1">IF(OR(tbControle[Qtde ReqC]="",tbControle[Aging '[dias']]=""),"",tbControle[Qtde ReqC]*tbControle[Aging '[dias']])</f>
        <v>0.11538461538461539</v>
      </c>
      <c r="Z78" s="51" t="str">
        <f>IF(OR(tbControle[[#This Row],[ReqC]]="",tbControle[[#This Row],[Item]]="",tbControle[[#This Row],[Data Transferência]]=""),"",_xlfn.CONCAT(tbControle[[#This Row],[ReqC]],"-",tbControle[[#This Row],[Item]],"-",tbControle[[#This Row],[Data Transferência]]))</f>
        <v>10111238-70-44000</v>
      </c>
      <c r="AA78" s="51">
        <f>IF(tbControle[Item Exclusívo]="","",1/COUNTIF(tbControle[Item Exclusívo],tbControle[[#This Row],[Item Exclusívo]]))</f>
        <v>1</v>
      </c>
      <c r="AB78" s="54">
        <f>IF(tbControle[Data Transferência]="","",MONTH(tbControle[Data Transferência]))</f>
        <v>6</v>
      </c>
      <c r="AC78" s="54">
        <f>IF(tbControle[Data Transferência]="","",YEAR(tbControle[Data Transferência]))</f>
        <v>2020</v>
      </c>
    </row>
    <row r="79" spans="1:29" ht="16.5" x14ac:dyDescent="0.25">
      <c r="A79" s="59">
        <v>10111238</v>
      </c>
      <c r="B79" s="55">
        <f ca="1">IF(tbControle[Data Inicial Comprador]="","",IF(tbControle[Data Final Comprador]="",TODAY()-tbControle[Data Transferência],tbControle[Data Final Comprador]-tbControle[Data Transferência]))</f>
        <v>3</v>
      </c>
      <c r="C79" s="56" t="s">
        <v>71</v>
      </c>
      <c r="D79" s="59">
        <v>80</v>
      </c>
      <c r="E79" s="57">
        <v>266947</v>
      </c>
      <c r="F79" s="57" t="s">
        <v>158</v>
      </c>
      <c r="G79" s="57">
        <v>1</v>
      </c>
      <c r="H79" s="60">
        <v>4524</v>
      </c>
      <c r="I79" s="58">
        <v>44000</v>
      </c>
      <c r="J79" s="58">
        <v>44000</v>
      </c>
      <c r="K79" s="58" t="s">
        <v>7</v>
      </c>
      <c r="L79" s="58">
        <v>44003</v>
      </c>
      <c r="M79" s="58">
        <v>44000</v>
      </c>
      <c r="N79" s="59">
        <v>150</v>
      </c>
      <c r="O79" s="58" t="s">
        <v>187</v>
      </c>
      <c r="P79" s="58">
        <v>44002</v>
      </c>
      <c r="Q79" s="58"/>
      <c r="R79" s="58">
        <v>44003</v>
      </c>
      <c r="S79" s="59">
        <v>526341</v>
      </c>
      <c r="T79" s="60"/>
      <c r="U79" s="56" t="s">
        <v>188</v>
      </c>
      <c r="V79" s="58">
        <v>44003</v>
      </c>
      <c r="W79" s="58"/>
      <c r="X79" s="51">
        <f>IF(tbControle[ReqC]="","",1/COUNTIF(tbControle[ReqC],tbControle[[#This Row],[ReqC]]))</f>
        <v>3.8461538461538464E-2</v>
      </c>
      <c r="Y79" s="51">
        <f ca="1">IF(OR(tbControle[Qtde ReqC]="",tbControle[Aging '[dias']]=""),"",tbControle[Qtde ReqC]*tbControle[Aging '[dias']])</f>
        <v>0.11538461538461539</v>
      </c>
      <c r="Z79" s="51" t="str">
        <f>IF(OR(tbControle[[#This Row],[ReqC]]="",tbControle[[#This Row],[Item]]="",tbControle[[#This Row],[Data Transferência]]=""),"",_xlfn.CONCAT(tbControle[[#This Row],[ReqC]],"-",tbControle[[#This Row],[Item]],"-",tbControle[[#This Row],[Data Transferência]]))</f>
        <v>10111238-80-44000</v>
      </c>
      <c r="AA79" s="51">
        <f>IF(tbControle[Item Exclusívo]="","",1/COUNTIF(tbControle[Item Exclusívo],tbControle[[#This Row],[Item Exclusívo]]))</f>
        <v>1</v>
      </c>
      <c r="AB79" s="54">
        <f>IF(tbControle[Data Transferência]="","",MONTH(tbControle[Data Transferência]))</f>
        <v>6</v>
      </c>
      <c r="AC79" s="54">
        <f>IF(tbControle[Data Transferência]="","",YEAR(tbControle[Data Transferência]))</f>
        <v>2020</v>
      </c>
    </row>
    <row r="80" spans="1:29" ht="16.5" x14ac:dyDescent="0.25">
      <c r="A80" s="59">
        <v>10111238</v>
      </c>
      <c r="B80" s="55">
        <f ca="1">IF(tbControle[Data Inicial Comprador]="","",IF(tbControle[Data Final Comprador]="",TODAY()-tbControle[Data Transferência],tbControle[Data Final Comprador]-tbControle[Data Transferência]))</f>
        <v>3</v>
      </c>
      <c r="C80" s="56" t="s">
        <v>71</v>
      </c>
      <c r="D80" s="59">
        <v>90</v>
      </c>
      <c r="E80" s="57">
        <v>192649</v>
      </c>
      <c r="F80" s="57" t="s">
        <v>159</v>
      </c>
      <c r="G80" s="57">
        <v>1</v>
      </c>
      <c r="H80" s="60">
        <v>16.899999999999999</v>
      </c>
      <c r="I80" s="58">
        <v>44000</v>
      </c>
      <c r="J80" s="58">
        <v>44000</v>
      </c>
      <c r="K80" s="58" t="s">
        <v>7</v>
      </c>
      <c r="L80" s="58">
        <v>44003</v>
      </c>
      <c r="M80" s="58">
        <v>44000</v>
      </c>
      <c r="N80" s="59">
        <v>150</v>
      </c>
      <c r="O80" s="58" t="s">
        <v>187</v>
      </c>
      <c r="P80" s="58">
        <v>44002</v>
      </c>
      <c r="Q80" s="58"/>
      <c r="R80" s="58">
        <v>44003</v>
      </c>
      <c r="S80" s="59">
        <v>526341</v>
      </c>
      <c r="T80" s="60"/>
      <c r="U80" s="56" t="s">
        <v>188</v>
      </c>
      <c r="V80" s="58">
        <v>44003</v>
      </c>
      <c r="W80" s="58"/>
      <c r="X80" s="51">
        <f>IF(tbControle[ReqC]="","",1/COUNTIF(tbControle[ReqC],tbControle[[#This Row],[ReqC]]))</f>
        <v>3.8461538461538464E-2</v>
      </c>
      <c r="Y80" s="51">
        <f ca="1">IF(OR(tbControle[Qtde ReqC]="",tbControle[Aging '[dias']]=""),"",tbControle[Qtde ReqC]*tbControle[Aging '[dias']])</f>
        <v>0.11538461538461539</v>
      </c>
      <c r="Z80" s="51" t="str">
        <f>IF(OR(tbControle[[#This Row],[ReqC]]="",tbControle[[#This Row],[Item]]="",tbControle[[#This Row],[Data Transferência]]=""),"",_xlfn.CONCAT(tbControle[[#This Row],[ReqC]],"-",tbControle[[#This Row],[Item]],"-",tbControle[[#This Row],[Data Transferência]]))</f>
        <v>10111238-90-44000</v>
      </c>
      <c r="AA80" s="51">
        <f>IF(tbControle[Item Exclusívo]="","",1/COUNTIF(tbControle[Item Exclusívo],tbControle[[#This Row],[Item Exclusívo]]))</f>
        <v>1</v>
      </c>
      <c r="AB80" s="54">
        <f>IF(tbControle[Data Transferência]="","",MONTH(tbControle[Data Transferência]))</f>
        <v>6</v>
      </c>
      <c r="AC80" s="54">
        <f>IF(tbControle[Data Transferência]="","",YEAR(tbControle[Data Transferência]))</f>
        <v>2020</v>
      </c>
    </row>
    <row r="81" spans="1:29" ht="16.5" x14ac:dyDescent="0.25">
      <c r="A81" s="59">
        <v>10111238</v>
      </c>
      <c r="B81" s="55">
        <f ca="1">IF(tbControle[Data Inicial Comprador]="","",IF(tbControle[Data Final Comprador]="",TODAY()-tbControle[Data Transferência],tbControle[Data Final Comprador]-tbControle[Data Transferência]))</f>
        <v>3</v>
      </c>
      <c r="C81" s="56" t="s">
        <v>71</v>
      </c>
      <c r="D81" s="59">
        <v>100</v>
      </c>
      <c r="E81" s="57">
        <v>206279</v>
      </c>
      <c r="F81" s="57" t="s">
        <v>160</v>
      </c>
      <c r="G81" s="57">
        <v>1</v>
      </c>
      <c r="H81" s="60">
        <v>452.4</v>
      </c>
      <c r="I81" s="58">
        <v>44000</v>
      </c>
      <c r="J81" s="58">
        <v>44000</v>
      </c>
      <c r="K81" s="58" t="s">
        <v>7</v>
      </c>
      <c r="L81" s="58">
        <v>44003</v>
      </c>
      <c r="M81" s="58">
        <v>44000</v>
      </c>
      <c r="N81" s="59">
        <v>150</v>
      </c>
      <c r="O81" s="58" t="s">
        <v>187</v>
      </c>
      <c r="P81" s="58">
        <v>44002</v>
      </c>
      <c r="Q81" s="58"/>
      <c r="R81" s="58">
        <v>44003</v>
      </c>
      <c r="S81" s="59">
        <v>526341</v>
      </c>
      <c r="T81" s="60"/>
      <c r="U81" s="56" t="s">
        <v>188</v>
      </c>
      <c r="V81" s="58">
        <v>44003</v>
      </c>
      <c r="W81" s="58"/>
      <c r="X81" s="51">
        <f>IF(tbControle[ReqC]="","",1/COUNTIF(tbControle[ReqC],tbControle[[#This Row],[ReqC]]))</f>
        <v>3.8461538461538464E-2</v>
      </c>
      <c r="Y81" s="51">
        <f ca="1">IF(OR(tbControle[Qtde ReqC]="",tbControle[Aging '[dias']]=""),"",tbControle[Qtde ReqC]*tbControle[Aging '[dias']])</f>
        <v>0.11538461538461539</v>
      </c>
      <c r="Z81" s="51" t="str">
        <f>IF(OR(tbControle[[#This Row],[ReqC]]="",tbControle[[#This Row],[Item]]="",tbControle[[#This Row],[Data Transferência]]=""),"",_xlfn.CONCAT(tbControle[[#This Row],[ReqC]],"-",tbControle[[#This Row],[Item]],"-",tbControle[[#This Row],[Data Transferência]]))</f>
        <v>10111238-100-44000</v>
      </c>
      <c r="AA81" s="51">
        <f>IF(tbControle[Item Exclusívo]="","",1/COUNTIF(tbControle[Item Exclusívo],tbControle[[#This Row],[Item Exclusívo]]))</f>
        <v>1</v>
      </c>
      <c r="AB81" s="54">
        <f>IF(tbControle[Data Transferência]="","",MONTH(tbControle[Data Transferência]))</f>
        <v>6</v>
      </c>
      <c r="AC81" s="54">
        <f>IF(tbControle[Data Transferência]="","",YEAR(tbControle[Data Transferência]))</f>
        <v>2020</v>
      </c>
    </row>
    <row r="82" spans="1:29" ht="16.5" x14ac:dyDescent="0.25">
      <c r="A82" s="59">
        <v>10111238</v>
      </c>
      <c r="B82" s="55">
        <f ca="1">IF(tbControle[Data Inicial Comprador]="","",IF(tbControle[Data Final Comprador]="",TODAY()-tbControle[Data Transferência],tbControle[Data Final Comprador]-tbControle[Data Transferência]))</f>
        <v>3</v>
      </c>
      <c r="C82" s="56" t="s">
        <v>71</v>
      </c>
      <c r="D82" s="59">
        <v>110</v>
      </c>
      <c r="E82" s="57">
        <v>449838</v>
      </c>
      <c r="F82" s="57" t="s">
        <v>161</v>
      </c>
      <c r="G82" s="57">
        <v>1</v>
      </c>
      <c r="H82" s="60">
        <v>64.61</v>
      </c>
      <c r="I82" s="58">
        <v>44000</v>
      </c>
      <c r="J82" s="58">
        <v>44000</v>
      </c>
      <c r="K82" s="58" t="s">
        <v>7</v>
      </c>
      <c r="L82" s="58">
        <v>44003</v>
      </c>
      <c r="M82" s="58">
        <v>44000</v>
      </c>
      <c r="N82" s="59">
        <v>150</v>
      </c>
      <c r="O82" s="58" t="s">
        <v>187</v>
      </c>
      <c r="P82" s="58">
        <v>44002</v>
      </c>
      <c r="Q82" s="58"/>
      <c r="R82" s="58">
        <v>44003</v>
      </c>
      <c r="S82" s="59">
        <v>526341</v>
      </c>
      <c r="T82" s="60"/>
      <c r="U82" s="56" t="s">
        <v>188</v>
      </c>
      <c r="V82" s="58">
        <v>44003</v>
      </c>
      <c r="W82" s="58"/>
      <c r="X82" s="51">
        <f>IF(tbControle[ReqC]="","",1/COUNTIF(tbControle[ReqC],tbControle[[#This Row],[ReqC]]))</f>
        <v>3.8461538461538464E-2</v>
      </c>
      <c r="Y82" s="51">
        <f ca="1">IF(OR(tbControle[Qtde ReqC]="",tbControle[Aging '[dias']]=""),"",tbControle[Qtde ReqC]*tbControle[Aging '[dias']])</f>
        <v>0.11538461538461539</v>
      </c>
      <c r="Z82" s="51" t="str">
        <f>IF(OR(tbControle[[#This Row],[ReqC]]="",tbControle[[#This Row],[Item]]="",tbControle[[#This Row],[Data Transferência]]=""),"",_xlfn.CONCAT(tbControle[[#This Row],[ReqC]],"-",tbControle[[#This Row],[Item]],"-",tbControle[[#This Row],[Data Transferência]]))</f>
        <v>10111238-110-44000</v>
      </c>
      <c r="AA82" s="51">
        <f>IF(tbControle[Item Exclusívo]="","",1/COUNTIF(tbControle[Item Exclusívo],tbControle[[#This Row],[Item Exclusívo]]))</f>
        <v>1</v>
      </c>
      <c r="AB82" s="54">
        <f>IF(tbControle[Data Transferência]="","",MONTH(tbControle[Data Transferência]))</f>
        <v>6</v>
      </c>
      <c r="AC82" s="54">
        <f>IF(tbControle[Data Transferência]="","",YEAR(tbControle[Data Transferência]))</f>
        <v>2020</v>
      </c>
    </row>
    <row r="83" spans="1:29" ht="16.5" x14ac:dyDescent="0.25">
      <c r="A83" s="59">
        <v>10111238</v>
      </c>
      <c r="B83" s="55">
        <f ca="1">IF(tbControle[Data Inicial Comprador]="","",IF(tbControle[Data Final Comprador]="",TODAY()-tbControle[Data Transferência],tbControle[Data Final Comprador]-tbControle[Data Transferência]))</f>
        <v>3</v>
      </c>
      <c r="C83" s="56" t="s">
        <v>71</v>
      </c>
      <c r="D83" s="59">
        <v>120</v>
      </c>
      <c r="E83" s="57">
        <v>290958</v>
      </c>
      <c r="F83" s="57" t="s">
        <v>162</v>
      </c>
      <c r="G83" s="57">
        <v>1</v>
      </c>
      <c r="H83" s="60">
        <v>474.5</v>
      </c>
      <c r="I83" s="58">
        <v>44000</v>
      </c>
      <c r="J83" s="58">
        <v>44000</v>
      </c>
      <c r="K83" s="58" t="s">
        <v>7</v>
      </c>
      <c r="L83" s="58">
        <v>44003</v>
      </c>
      <c r="M83" s="58">
        <v>44000</v>
      </c>
      <c r="N83" s="59">
        <v>150</v>
      </c>
      <c r="O83" s="58" t="s">
        <v>187</v>
      </c>
      <c r="P83" s="58">
        <v>44002</v>
      </c>
      <c r="Q83" s="58"/>
      <c r="R83" s="58">
        <v>44003</v>
      </c>
      <c r="S83" s="59">
        <v>526341</v>
      </c>
      <c r="T83" s="60"/>
      <c r="U83" s="56" t="s">
        <v>188</v>
      </c>
      <c r="V83" s="58">
        <v>44003</v>
      </c>
      <c r="W83" s="58"/>
      <c r="X83" s="51">
        <f>IF(tbControle[ReqC]="","",1/COUNTIF(tbControle[ReqC],tbControle[[#This Row],[ReqC]]))</f>
        <v>3.8461538461538464E-2</v>
      </c>
      <c r="Y83" s="51">
        <f ca="1">IF(OR(tbControle[Qtde ReqC]="",tbControle[Aging '[dias']]=""),"",tbControle[Qtde ReqC]*tbControle[Aging '[dias']])</f>
        <v>0.11538461538461539</v>
      </c>
      <c r="Z83" s="51" t="str">
        <f>IF(OR(tbControle[[#This Row],[ReqC]]="",tbControle[[#This Row],[Item]]="",tbControle[[#This Row],[Data Transferência]]=""),"",_xlfn.CONCAT(tbControle[[#This Row],[ReqC]],"-",tbControle[[#This Row],[Item]],"-",tbControle[[#This Row],[Data Transferência]]))</f>
        <v>10111238-120-44000</v>
      </c>
      <c r="AA83" s="51">
        <f>IF(tbControle[Item Exclusívo]="","",1/COUNTIF(tbControle[Item Exclusívo],tbControle[[#This Row],[Item Exclusívo]]))</f>
        <v>1</v>
      </c>
      <c r="AB83" s="54">
        <f>IF(tbControle[Data Transferência]="","",MONTH(tbControle[Data Transferência]))</f>
        <v>6</v>
      </c>
      <c r="AC83" s="54">
        <f>IF(tbControle[Data Transferência]="","",YEAR(tbControle[Data Transferência]))</f>
        <v>2020</v>
      </c>
    </row>
    <row r="84" spans="1:29" ht="16.5" x14ac:dyDescent="0.25">
      <c r="A84" s="59">
        <v>10111238</v>
      </c>
      <c r="B84" s="55">
        <f ca="1">IF(tbControle[Data Inicial Comprador]="","",IF(tbControle[Data Final Comprador]="",TODAY()-tbControle[Data Transferência],tbControle[Data Final Comprador]-tbControle[Data Transferência]))</f>
        <v>3</v>
      </c>
      <c r="C84" s="56" t="s">
        <v>71</v>
      </c>
      <c r="D84" s="59">
        <v>130</v>
      </c>
      <c r="E84" s="57">
        <v>284420</v>
      </c>
      <c r="F84" s="57" t="s">
        <v>163</v>
      </c>
      <c r="G84" s="57">
        <v>1</v>
      </c>
      <c r="H84" s="60">
        <v>496.15</v>
      </c>
      <c r="I84" s="58">
        <v>44000</v>
      </c>
      <c r="J84" s="58">
        <v>44000</v>
      </c>
      <c r="K84" s="58" t="s">
        <v>7</v>
      </c>
      <c r="L84" s="58">
        <v>44003</v>
      </c>
      <c r="M84" s="58">
        <v>44000</v>
      </c>
      <c r="N84" s="59">
        <v>150</v>
      </c>
      <c r="O84" s="58" t="s">
        <v>187</v>
      </c>
      <c r="P84" s="58">
        <v>44002</v>
      </c>
      <c r="Q84" s="58"/>
      <c r="R84" s="58">
        <v>44003</v>
      </c>
      <c r="S84" s="59">
        <v>526341</v>
      </c>
      <c r="T84" s="60"/>
      <c r="U84" s="56" t="s">
        <v>188</v>
      </c>
      <c r="V84" s="58">
        <v>44003</v>
      </c>
      <c r="W84" s="58"/>
      <c r="X84" s="51">
        <f>IF(tbControle[ReqC]="","",1/COUNTIF(tbControle[ReqC],tbControle[[#This Row],[ReqC]]))</f>
        <v>3.8461538461538464E-2</v>
      </c>
      <c r="Y84" s="51">
        <f ca="1">IF(OR(tbControle[Qtde ReqC]="",tbControle[Aging '[dias']]=""),"",tbControle[Qtde ReqC]*tbControle[Aging '[dias']])</f>
        <v>0.11538461538461539</v>
      </c>
      <c r="Z84" s="51" t="str">
        <f>IF(OR(tbControle[[#This Row],[ReqC]]="",tbControle[[#This Row],[Item]]="",tbControle[[#This Row],[Data Transferência]]=""),"",_xlfn.CONCAT(tbControle[[#This Row],[ReqC]],"-",tbControle[[#This Row],[Item]],"-",tbControle[[#This Row],[Data Transferência]]))</f>
        <v>10111238-130-44000</v>
      </c>
      <c r="AA84" s="51">
        <f>IF(tbControle[Item Exclusívo]="","",1/COUNTIF(tbControle[Item Exclusívo],tbControle[[#This Row],[Item Exclusívo]]))</f>
        <v>1</v>
      </c>
      <c r="AB84" s="54">
        <f>IF(tbControle[Data Transferência]="","",MONTH(tbControle[Data Transferência]))</f>
        <v>6</v>
      </c>
      <c r="AC84" s="54">
        <f>IF(tbControle[Data Transferência]="","",YEAR(tbControle[Data Transferência]))</f>
        <v>2020</v>
      </c>
    </row>
    <row r="85" spans="1:29" ht="16.5" x14ac:dyDescent="0.25">
      <c r="A85" s="59">
        <v>10111238</v>
      </c>
      <c r="B85" s="55">
        <f ca="1">IF(tbControle[Data Inicial Comprador]="","",IF(tbControle[Data Final Comprador]="",TODAY()-tbControle[Data Transferência],tbControle[Data Final Comprador]-tbControle[Data Transferência]))</f>
        <v>3</v>
      </c>
      <c r="C85" s="56" t="s">
        <v>71</v>
      </c>
      <c r="D85" s="59">
        <v>140</v>
      </c>
      <c r="E85" s="57">
        <v>436507</v>
      </c>
      <c r="F85" s="57" t="s">
        <v>164</v>
      </c>
      <c r="G85" s="57">
        <v>1</v>
      </c>
      <c r="H85" s="60">
        <v>78</v>
      </c>
      <c r="I85" s="58">
        <v>44000</v>
      </c>
      <c r="J85" s="58">
        <v>44000</v>
      </c>
      <c r="K85" s="58" t="s">
        <v>7</v>
      </c>
      <c r="L85" s="58">
        <v>44003</v>
      </c>
      <c r="M85" s="58">
        <v>44000</v>
      </c>
      <c r="N85" s="59">
        <v>150</v>
      </c>
      <c r="O85" s="58" t="s">
        <v>187</v>
      </c>
      <c r="P85" s="58">
        <v>44002</v>
      </c>
      <c r="Q85" s="58"/>
      <c r="R85" s="58">
        <v>44003</v>
      </c>
      <c r="S85" s="59">
        <v>526341</v>
      </c>
      <c r="T85" s="60"/>
      <c r="U85" s="56" t="s">
        <v>188</v>
      </c>
      <c r="V85" s="58">
        <v>44003</v>
      </c>
      <c r="W85" s="58"/>
      <c r="X85" s="51">
        <f>IF(tbControle[ReqC]="","",1/COUNTIF(tbControle[ReqC],tbControle[[#This Row],[ReqC]]))</f>
        <v>3.8461538461538464E-2</v>
      </c>
      <c r="Y85" s="51">
        <f ca="1">IF(OR(tbControle[Qtde ReqC]="",tbControle[Aging '[dias']]=""),"",tbControle[Qtde ReqC]*tbControle[Aging '[dias']])</f>
        <v>0.11538461538461539</v>
      </c>
      <c r="Z85" s="51" t="str">
        <f>IF(OR(tbControle[[#This Row],[ReqC]]="",tbControle[[#This Row],[Item]]="",tbControle[[#This Row],[Data Transferência]]=""),"",_xlfn.CONCAT(tbControle[[#This Row],[ReqC]],"-",tbControle[[#This Row],[Item]],"-",tbControle[[#This Row],[Data Transferência]]))</f>
        <v>10111238-140-44000</v>
      </c>
      <c r="AA85" s="51">
        <f>IF(tbControle[Item Exclusívo]="","",1/COUNTIF(tbControle[Item Exclusívo],tbControle[[#This Row],[Item Exclusívo]]))</f>
        <v>1</v>
      </c>
      <c r="AB85" s="54">
        <f>IF(tbControle[Data Transferência]="","",MONTH(tbControle[Data Transferência]))</f>
        <v>6</v>
      </c>
      <c r="AC85" s="54">
        <f>IF(tbControle[Data Transferência]="","",YEAR(tbControle[Data Transferência]))</f>
        <v>2020</v>
      </c>
    </row>
    <row r="86" spans="1:29" ht="16.5" x14ac:dyDescent="0.25">
      <c r="A86" s="59">
        <v>10111238</v>
      </c>
      <c r="B86" s="55">
        <f ca="1">IF(tbControle[Data Inicial Comprador]="","",IF(tbControle[Data Final Comprador]="",TODAY()-tbControle[Data Transferência],tbControle[Data Final Comprador]-tbControle[Data Transferência]))</f>
        <v>3</v>
      </c>
      <c r="C86" s="56" t="s">
        <v>71</v>
      </c>
      <c r="D86" s="59">
        <v>150</v>
      </c>
      <c r="E86" s="57">
        <v>284425</v>
      </c>
      <c r="F86" s="57" t="s">
        <v>165</v>
      </c>
      <c r="G86" s="57">
        <v>1</v>
      </c>
      <c r="H86" s="60">
        <v>78</v>
      </c>
      <c r="I86" s="58">
        <v>44000</v>
      </c>
      <c r="J86" s="58">
        <v>44000</v>
      </c>
      <c r="K86" s="58" t="s">
        <v>7</v>
      </c>
      <c r="L86" s="58">
        <v>44003</v>
      </c>
      <c r="M86" s="58">
        <v>44000</v>
      </c>
      <c r="N86" s="59">
        <v>150</v>
      </c>
      <c r="O86" s="58" t="s">
        <v>187</v>
      </c>
      <c r="P86" s="58">
        <v>44002</v>
      </c>
      <c r="Q86" s="58"/>
      <c r="R86" s="58">
        <v>44003</v>
      </c>
      <c r="S86" s="59">
        <v>526341</v>
      </c>
      <c r="T86" s="60"/>
      <c r="U86" s="56" t="s">
        <v>188</v>
      </c>
      <c r="V86" s="58">
        <v>44003</v>
      </c>
      <c r="W86" s="58"/>
      <c r="X86" s="51">
        <f>IF(tbControle[ReqC]="","",1/COUNTIF(tbControle[ReqC],tbControle[[#This Row],[ReqC]]))</f>
        <v>3.8461538461538464E-2</v>
      </c>
      <c r="Y86" s="51">
        <f ca="1">IF(OR(tbControle[Qtde ReqC]="",tbControle[Aging '[dias']]=""),"",tbControle[Qtde ReqC]*tbControle[Aging '[dias']])</f>
        <v>0.11538461538461539</v>
      </c>
      <c r="Z86" s="51" t="str">
        <f>IF(OR(tbControle[[#This Row],[ReqC]]="",tbControle[[#This Row],[Item]]="",tbControle[[#This Row],[Data Transferência]]=""),"",_xlfn.CONCAT(tbControle[[#This Row],[ReqC]],"-",tbControle[[#This Row],[Item]],"-",tbControle[[#This Row],[Data Transferência]]))</f>
        <v>10111238-150-44000</v>
      </c>
      <c r="AA86" s="51">
        <f>IF(tbControle[Item Exclusívo]="","",1/COUNTIF(tbControle[Item Exclusívo],tbControle[[#This Row],[Item Exclusívo]]))</f>
        <v>1</v>
      </c>
      <c r="AB86" s="54">
        <f>IF(tbControle[Data Transferência]="","",MONTH(tbControle[Data Transferência]))</f>
        <v>6</v>
      </c>
      <c r="AC86" s="54">
        <f>IF(tbControle[Data Transferência]="","",YEAR(tbControle[Data Transferência]))</f>
        <v>2020</v>
      </c>
    </row>
    <row r="87" spans="1:29" ht="16.5" x14ac:dyDescent="0.25">
      <c r="A87" s="59">
        <v>10111238</v>
      </c>
      <c r="B87" s="55">
        <f ca="1">IF(tbControle[Data Inicial Comprador]="","",IF(tbControle[Data Final Comprador]="",TODAY()-tbControle[Data Transferência],tbControle[Data Final Comprador]-tbControle[Data Transferência]))</f>
        <v>3</v>
      </c>
      <c r="C87" s="56" t="s">
        <v>71</v>
      </c>
      <c r="D87" s="59">
        <v>160</v>
      </c>
      <c r="E87" s="57">
        <v>284423</v>
      </c>
      <c r="F87" s="57" t="s">
        <v>165</v>
      </c>
      <c r="G87" s="57">
        <v>1</v>
      </c>
      <c r="H87" s="60">
        <v>78</v>
      </c>
      <c r="I87" s="58">
        <v>44000</v>
      </c>
      <c r="J87" s="58">
        <v>44000</v>
      </c>
      <c r="K87" s="58" t="s">
        <v>7</v>
      </c>
      <c r="L87" s="58">
        <v>44003</v>
      </c>
      <c r="M87" s="58">
        <v>44000</v>
      </c>
      <c r="N87" s="59">
        <v>150</v>
      </c>
      <c r="O87" s="58" t="s">
        <v>187</v>
      </c>
      <c r="P87" s="58">
        <v>44002</v>
      </c>
      <c r="Q87" s="58"/>
      <c r="R87" s="58">
        <v>44003</v>
      </c>
      <c r="S87" s="59">
        <v>526341</v>
      </c>
      <c r="T87" s="60"/>
      <c r="U87" s="56" t="s">
        <v>188</v>
      </c>
      <c r="V87" s="58">
        <v>44003</v>
      </c>
      <c r="W87" s="58"/>
      <c r="X87" s="51">
        <f>IF(tbControle[ReqC]="","",1/COUNTIF(tbControle[ReqC],tbControle[[#This Row],[ReqC]]))</f>
        <v>3.8461538461538464E-2</v>
      </c>
      <c r="Y87" s="51">
        <f ca="1">IF(OR(tbControle[Qtde ReqC]="",tbControle[Aging '[dias']]=""),"",tbControle[Qtde ReqC]*tbControle[Aging '[dias']])</f>
        <v>0.11538461538461539</v>
      </c>
      <c r="Z87" s="51" t="str">
        <f>IF(OR(tbControle[[#This Row],[ReqC]]="",tbControle[[#This Row],[Item]]="",tbControle[[#This Row],[Data Transferência]]=""),"",_xlfn.CONCAT(tbControle[[#This Row],[ReqC]],"-",tbControle[[#This Row],[Item]],"-",tbControle[[#This Row],[Data Transferência]]))</f>
        <v>10111238-160-44000</v>
      </c>
      <c r="AA87" s="51">
        <f>IF(tbControle[Item Exclusívo]="","",1/COUNTIF(tbControle[Item Exclusívo],tbControle[[#This Row],[Item Exclusívo]]))</f>
        <v>1</v>
      </c>
      <c r="AB87" s="54">
        <f>IF(tbControle[Data Transferência]="","",MONTH(tbControle[Data Transferência]))</f>
        <v>6</v>
      </c>
      <c r="AC87" s="54">
        <f>IF(tbControle[Data Transferência]="","",YEAR(tbControle[Data Transferência]))</f>
        <v>2020</v>
      </c>
    </row>
    <row r="88" spans="1:29" ht="16.5" x14ac:dyDescent="0.25">
      <c r="A88" s="59">
        <v>10111238</v>
      </c>
      <c r="B88" s="55">
        <f ca="1">IF(tbControle[Data Inicial Comprador]="","",IF(tbControle[Data Final Comprador]="",TODAY()-tbControle[Data Transferência],tbControle[Data Final Comprador]-tbControle[Data Transferência]))</f>
        <v>3</v>
      </c>
      <c r="C88" s="56" t="s">
        <v>71</v>
      </c>
      <c r="D88" s="59">
        <v>170</v>
      </c>
      <c r="E88" s="57">
        <v>115838</v>
      </c>
      <c r="F88" s="57" t="s">
        <v>166</v>
      </c>
      <c r="G88" s="57">
        <v>5</v>
      </c>
      <c r="H88" s="60">
        <v>62.6</v>
      </c>
      <c r="I88" s="58">
        <v>44000</v>
      </c>
      <c r="J88" s="58">
        <v>44000</v>
      </c>
      <c r="K88" s="58" t="s">
        <v>7</v>
      </c>
      <c r="L88" s="58">
        <v>44003</v>
      </c>
      <c r="M88" s="58">
        <v>44000</v>
      </c>
      <c r="N88" s="59">
        <v>150</v>
      </c>
      <c r="O88" s="58" t="s">
        <v>187</v>
      </c>
      <c r="P88" s="58">
        <v>44002</v>
      </c>
      <c r="Q88" s="58"/>
      <c r="R88" s="58">
        <v>44003</v>
      </c>
      <c r="S88" s="59">
        <v>526341</v>
      </c>
      <c r="T88" s="60"/>
      <c r="U88" s="56" t="s">
        <v>188</v>
      </c>
      <c r="V88" s="58">
        <v>44003</v>
      </c>
      <c r="W88" s="58"/>
      <c r="X88" s="51">
        <f>IF(tbControle[ReqC]="","",1/COUNTIF(tbControle[ReqC],tbControle[[#This Row],[ReqC]]))</f>
        <v>3.8461538461538464E-2</v>
      </c>
      <c r="Y88" s="51">
        <f ca="1">IF(OR(tbControle[Qtde ReqC]="",tbControle[Aging '[dias']]=""),"",tbControle[Qtde ReqC]*tbControle[Aging '[dias']])</f>
        <v>0.11538461538461539</v>
      </c>
      <c r="Z88" s="51" t="str">
        <f>IF(OR(tbControle[[#This Row],[ReqC]]="",tbControle[[#This Row],[Item]]="",tbControle[[#This Row],[Data Transferência]]=""),"",_xlfn.CONCAT(tbControle[[#This Row],[ReqC]],"-",tbControle[[#This Row],[Item]],"-",tbControle[[#This Row],[Data Transferência]]))</f>
        <v>10111238-170-44000</v>
      </c>
      <c r="AA88" s="51">
        <f>IF(tbControle[Item Exclusívo]="","",1/COUNTIF(tbControle[Item Exclusívo],tbControle[[#This Row],[Item Exclusívo]]))</f>
        <v>1</v>
      </c>
      <c r="AB88" s="54">
        <f>IF(tbControle[Data Transferência]="","",MONTH(tbControle[Data Transferência]))</f>
        <v>6</v>
      </c>
      <c r="AC88" s="54">
        <f>IF(tbControle[Data Transferência]="","",YEAR(tbControle[Data Transferência]))</f>
        <v>2020</v>
      </c>
    </row>
    <row r="89" spans="1:29" ht="16.5" x14ac:dyDescent="0.25">
      <c r="A89" s="59">
        <v>10111238</v>
      </c>
      <c r="B89" s="55">
        <f ca="1">IF(tbControle[Data Inicial Comprador]="","",IF(tbControle[Data Final Comprador]="",TODAY()-tbControle[Data Transferência],tbControle[Data Final Comprador]-tbControle[Data Transferência]))</f>
        <v>3</v>
      </c>
      <c r="C89" s="56" t="s">
        <v>71</v>
      </c>
      <c r="D89" s="59">
        <v>180</v>
      </c>
      <c r="E89" s="57">
        <v>105540</v>
      </c>
      <c r="F89" s="57" t="s">
        <v>167</v>
      </c>
      <c r="G89" s="57">
        <v>5</v>
      </c>
      <c r="H89" s="60">
        <v>313</v>
      </c>
      <c r="I89" s="58">
        <v>44000</v>
      </c>
      <c r="J89" s="58">
        <v>44000</v>
      </c>
      <c r="K89" s="58" t="s">
        <v>7</v>
      </c>
      <c r="L89" s="58">
        <v>44003</v>
      </c>
      <c r="M89" s="58">
        <v>44000</v>
      </c>
      <c r="N89" s="59">
        <v>150</v>
      </c>
      <c r="O89" s="58" t="s">
        <v>187</v>
      </c>
      <c r="P89" s="58">
        <v>44002</v>
      </c>
      <c r="Q89" s="58"/>
      <c r="R89" s="58">
        <v>44003</v>
      </c>
      <c r="S89" s="59">
        <v>526341</v>
      </c>
      <c r="T89" s="60"/>
      <c r="U89" s="56" t="s">
        <v>188</v>
      </c>
      <c r="V89" s="58">
        <v>44003</v>
      </c>
      <c r="W89" s="58"/>
      <c r="X89" s="51">
        <f>IF(tbControle[ReqC]="","",1/COUNTIF(tbControle[ReqC],tbControle[[#This Row],[ReqC]]))</f>
        <v>3.8461538461538464E-2</v>
      </c>
      <c r="Y89" s="51">
        <f ca="1">IF(OR(tbControle[Qtde ReqC]="",tbControle[Aging '[dias']]=""),"",tbControle[Qtde ReqC]*tbControle[Aging '[dias']])</f>
        <v>0.11538461538461539</v>
      </c>
      <c r="Z89" s="51" t="str">
        <f>IF(OR(tbControle[[#This Row],[ReqC]]="",tbControle[[#This Row],[Item]]="",tbControle[[#This Row],[Data Transferência]]=""),"",_xlfn.CONCAT(tbControle[[#This Row],[ReqC]],"-",tbControle[[#This Row],[Item]],"-",tbControle[[#This Row],[Data Transferência]]))</f>
        <v>10111238-180-44000</v>
      </c>
      <c r="AA89" s="51">
        <f>IF(tbControle[Item Exclusívo]="","",1/COUNTIF(tbControle[Item Exclusívo],tbControle[[#This Row],[Item Exclusívo]]))</f>
        <v>1</v>
      </c>
      <c r="AB89" s="54">
        <f>IF(tbControle[Data Transferência]="","",MONTH(tbControle[Data Transferência]))</f>
        <v>6</v>
      </c>
      <c r="AC89" s="54">
        <f>IF(tbControle[Data Transferência]="","",YEAR(tbControle[Data Transferência]))</f>
        <v>2020</v>
      </c>
    </row>
    <row r="90" spans="1:29" ht="16.5" x14ac:dyDescent="0.25">
      <c r="A90" s="59">
        <v>10111238</v>
      </c>
      <c r="B90" s="55">
        <f ca="1">IF(tbControle[Data Inicial Comprador]="","",IF(tbControle[Data Final Comprador]="",TODAY()-tbControle[Data Transferência],tbControle[Data Final Comprador]-tbControle[Data Transferência]))</f>
        <v>3</v>
      </c>
      <c r="C90" s="56" t="s">
        <v>71</v>
      </c>
      <c r="D90" s="59">
        <v>190</v>
      </c>
      <c r="E90" s="57">
        <v>336433</v>
      </c>
      <c r="F90" s="57" t="s">
        <v>168</v>
      </c>
      <c r="G90" s="57">
        <v>10</v>
      </c>
      <c r="H90" s="60">
        <v>90</v>
      </c>
      <c r="I90" s="58">
        <v>44000</v>
      </c>
      <c r="J90" s="58">
        <v>44000</v>
      </c>
      <c r="K90" s="58" t="s">
        <v>7</v>
      </c>
      <c r="L90" s="58">
        <v>44003</v>
      </c>
      <c r="M90" s="58">
        <v>44000</v>
      </c>
      <c r="N90" s="59">
        <v>150</v>
      </c>
      <c r="O90" s="58" t="s">
        <v>187</v>
      </c>
      <c r="P90" s="58">
        <v>44002</v>
      </c>
      <c r="Q90" s="58"/>
      <c r="R90" s="58">
        <v>44003</v>
      </c>
      <c r="S90" s="59">
        <v>526341</v>
      </c>
      <c r="T90" s="60"/>
      <c r="U90" s="56" t="s">
        <v>188</v>
      </c>
      <c r="V90" s="58">
        <v>44003</v>
      </c>
      <c r="W90" s="58"/>
      <c r="X90" s="51">
        <f>IF(tbControle[ReqC]="","",1/COUNTIF(tbControle[ReqC],tbControle[[#This Row],[ReqC]]))</f>
        <v>3.8461538461538464E-2</v>
      </c>
      <c r="Y90" s="51">
        <f ca="1">IF(OR(tbControle[Qtde ReqC]="",tbControle[Aging '[dias']]=""),"",tbControle[Qtde ReqC]*tbControle[Aging '[dias']])</f>
        <v>0.11538461538461539</v>
      </c>
      <c r="Z90" s="51" t="str">
        <f>IF(OR(tbControle[[#This Row],[ReqC]]="",tbControle[[#This Row],[Item]]="",tbControle[[#This Row],[Data Transferência]]=""),"",_xlfn.CONCAT(tbControle[[#This Row],[ReqC]],"-",tbControle[[#This Row],[Item]],"-",tbControle[[#This Row],[Data Transferência]]))</f>
        <v>10111238-190-44000</v>
      </c>
      <c r="AA90" s="51">
        <f>IF(tbControle[Item Exclusívo]="","",1/COUNTIF(tbControle[Item Exclusívo],tbControle[[#This Row],[Item Exclusívo]]))</f>
        <v>1</v>
      </c>
      <c r="AB90" s="54">
        <f>IF(tbControle[Data Transferência]="","",MONTH(tbControle[Data Transferência]))</f>
        <v>6</v>
      </c>
      <c r="AC90" s="54">
        <f>IF(tbControle[Data Transferência]="","",YEAR(tbControle[Data Transferência]))</f>
        <v>2020</v>
      </c>
    </row>
    <row r="91" spans="1:29" ht="16.5" x14ac:dyDescent="0.25">
      <c r="A91" s="59">
        <v>10111238</v>
      </c>
      <c r="B91" s="55">
        <f ca="1">IF(tbControle[Data Inicial Comprador]="","",IF(tbControle[Data Final Comprador]="",TODAY()-tbControle[Data Transferência],tbControle[Data Final Comprador]-tbControle[Data Transferência]))</f>
        <v>3</v>
      </c>
      <c r="C91" s="56" t="s">
        <v>71</v>
      </c>
      <c r="D91" s="59">
        <v>200</v>
      </c>
      <c r="E91" s="57">
        <v>212305</v>
      </c>
      <c r="F91" s="57" t="s">
        <v>169</v>
      </c>
      <c r="G91" s="57">
        <v>1</v>
      </c>
      <c r="H91" s="60">
        <v>132.41</v>
      </c>
      <c r="I91" s="58">
        <v>44000</v>
      </c>
      <c r="J91" s="58">
        <v>44000</v>
      </c>
      <c r="K91" s="58" t="s">
        <v>7</v>
      </c>
      <c r="L91" s="58">
        <v>44003</v>
      </c>
      <c r="M91" s="58">
        <v>44000</v>
      </c>
      <c r="N91" s="59">
        <v>150</v>
      </c>
      <c r="O91" s="58" t="s">
        <v>187</v>
      </c>
      <c r="P91" s="58">
        <v>44002</v>
      </c>
      <c r="Q91" s="58"/>
      <c r="R91" s="58">
        <v>44003</v>
      </c>
      <c r="S91" s="59">
        <v>526341</v>
      </c>
      <c r="T91" s="60"/>
      <c r="U91" s="56" t="s">
        <v>188</v>
      </c>
      <c r="V91" s="58">
        <v>44003</v>
      </c>
      <c r="W91" s="58"/>
      <c r="X91" s="51">
        <f>IF(tbControle[ReqC]="","",1/COUNTIF(tbControle[ReqC],tbControle[[#This Row],[ReqC]]))</f>
        <v>3.8461538461538464E-2</v>
      </c>
      <c r="Y91" s="51">
        <f ca="1">IF(OR(tbControle[Qtde ReqC]="",tbControle[Aging '[dias']]=""),"",tbControle[Qtde ReqC]*tbControle[Aging '[dias']])</f>
        <v>0.11538461538461539</v>
      </c>
      <c r="Z91" s="51" t="str">
        <f>IF(OR(tbControle[[#This Row],[ReqC]]="",tbControle[[#This Row],[Item]]="",tbControle[[#This Row],[Data Transferência]]=""),"",_xlfn.CONCAT(tbControle[[#This Row],[ReqC]],"-",tbControle[[#This Row],[Item]],"-",tbControle[[#This Row],[Data Transferência]]))</f>
        <v>10111238-200-44000</v>
      </c>
      <c r="AA91" s="51">
        <f>IF(tbControle[Item Exclusívo]="","",1/COUNTIF(tbControle[Item Exclusívo],tbControle[[#This Row],[Item Exclusívo]]))</f>
        <v>1</v>
      </c>
      <c r="AB91" s="54">
        <f>IF(tbControle[Data Transferência]="","",MONTH(tbControle[Data Transferência]))</f>
        <v>6</v>
      </c>
      <c r="AC91" s="54">
        <f>IF(tbControle[Data Transferência]="","",YEAR(tbControle[Data Transferência]))</f>
        <v>2020</v>
      </c>
    </row>
    <row r="92" spans="1:29" ht="16.5" x14ac:dyDescent="0.25">
      <c r="A92" s="59">
        <v>10111238</v>
      </c>
      <c r="B92" s="55">
        <f ca="1">IF(tbControle[Data Inicial Comprador]="","",IF(tbControle[Data Final Comprador]="",TODAY()-tbControle[Data Transferência],tbControle[Data Final Comprador]-tbControle[Data Transferência]))</f>
        <v>3</v>
      </c>
      <c r="C92" s="56" t="s">
        <v>71</v>
      </c>
      <c r="D92" s="59">
        <v>210</v>
      </c>
      <c r="E92" s="57">
        <v>295803</v>
      </c>
      <c r="F92" s="57" t="s">
        <v>170</v>
      </c>
      <c r="G92" s="57">
        <v>1</v>
      </c>
      <c r="H92" s="60">
        <v>591.16</v>
      </c>
      <c r="I92" s="58">
        <v>44000</v>
      </c>
      <c r="J92" s="58">
        <v>44000</v>
      </c>
      <c r="K92" s="58" t="s">
        <v>7</v>
      </c>
      <c r="L92" s="58">
        <v>44003</v>
      </c>
      <c r="M92" s="58">
        <v>44000</v>
      </c>
      <c r="N92" s="59">
        <v>150</v>
      </c>
      <c r="O92" s="58" t="s">
        <v>187</v>
      </c>
      <c r="P92" s="58">
        <v>44002</v>
      </c>
      <c r="Q92" s="58"/>
      <c r="R92" s="58">
        <v>44003</v>
      </c>
      <c r="S92" s="59">
        <v>526341</v>
      </c>
      <c r="T92" s="60"/>
      <c r="U92" s="56" t="s">
        <v>188</v>
      </c>
      <c r="V92" s="58">
        <v>44003</v>
      </c>
      <c r="W92" s="58"/>
      <c r="X92" s="51">
        <f>IF(tbControle[ReqC]="","",1/COUNTIF(tbControle[ReqC],tbControle[[#This Row],[ReqC]]))</f>
        <v>3.8461538461538464E-2</v>
      </c>
      <c r="Y92" s="51">
        <f ca="1">IF(OR(tbControle[Qtde ReqC]="",tbControle[Aging '[dias']]=""),"",tbControle[Qtde ReqC]*tbControle[Aging '[dias']])</f>
        <v>0.11538461538461539</v>
      </c>
      <c r="Z92" s="51" t="str">
        <f>IF(OR(tbControle[[#This Row],[ReqC]]="",tbControle[[#This Row],[Item]]="",tbControle[[#This Row],[Data Transferência]]=""),"",_xlfn.CONCAT(tbControle[[#This Row],[ReqC]],"-",tbControle[[#This Row],[Item]],"-",tbControle[[#This Row],[Data Transferência]]))</f>
        <v>10111238-210-44000</v>
      </c>
      <c r="AA92" s="51">
        <f>IF(tbControle[Item Exclusívo]="","",1/COUNTIF(tbControle[Item Exclusívo],tbControle[[#This Row],[Item Exclusívo]]))</f>
        <v>1</v>
      </c>
      <c r="AB92" s="54">
        <f>IF(tbControle[Data Transferência]="","",MONTH(tbControle[Data Transferência]))</f>
        <v>6</v>
      </c>
      <c r="AC92" s="54">
        <f>IF(tbControle[Data Transferência]="","",YEAR(tbControle[Data Transferência]))</f>
        <v>2020</v>
      </c>
    </row>
    <row r="93" spans="1:29" ht="16.5" x14ac:dyDescent="0.25">
      <c r="A93" s="59">
        <v>10111238</v>
      </c>
      <c r="B93" s="55">
        <f ca="1">IF(tbControle[Data Inicial Comprador]="","",IF(tbControle[Data Final Comprador]="",TODAY()-tbControle[Data Transferência],tbControle[Data Final Comprador]-tbControle[Data Transferência]))</f>
        <v>3</v>
      </c>
      <c r="C93" s="56" t="s">
        <v>71</v>
      </c>
      <c r="D93" s="59">
        <v>220</v>
      </c>
      <c r="E93" s="57">
        <v>296142</v>
      </c>
      <c r="F93" s="57" t="s">
        <v>171</v>
      </c>
      <c r="G93" s="57">
        <v>1</v>
      </c>
      <c r="H93" s="60">
        <v>234</v>
      </c>
      <c r="I93" s="58">
        <v>44000</v>
      </c>
      <c r="J93" s="58">
        <v>44000</v>
      </c>
      <c r="K93" s="58" t="s">
        <v>7</v>
      </c>
      <c r="L93" s="58">
        <v>44003</v>
      </c>
      <c r="M93" s="58">
        <v>44000</v>
      </c>
      <c r="N93" s="59">
        <v>150</v>
      </c>
      <c r="O93" s="58" t="s">
        <v>187</v>
      </c>
      <c r="P93" s="58">
        <v>44002</v>
      </c>
      <c r="Q93" s="58"/>
      <c r="R93" s="58">
        <v>44003</v>
      </c>
      <c r="S93" s="59">
        <v>526341</v>
      </c>
      <c r="T93" s="60"/>
      <c r="U93" s="56" t="s">
        <v>188</v>
      </c>
      <c r="V93" s="58">
        <v>44003</v>
      </c>
      <c r="W93" s="58"/>
      <c r="X93" s="51">
        <f>IF(tbControle[ReqC]="","",1/COUNTIF(tbControle[ReqC],tbControle[[#This Row],[ReqC]]))</f>
        <v>3.8461538461538464E-2</v>
      </c>
      <c r="Y93" s="51">
        <f ca="1">IF(OR(tbControle[Qtde ReqC]="",tbControle[Aging '[dias']]=""),"",tbControle[Qtde ReqC]*tbControle[Aging '[dias']])</f>
        <v>0.11538461538461539</v>
      </c>
      <c r="Z93" s="51" t="str">
        <f>IF(OR(tbControle[[#This Row],[ReqC]]="",tbControle[[#This Row],[Item]]="",tbControle[[#This Row],[Data Transferência]]=""),"",_xlfn.CONCAT(tbControle[[#This Row],[ReqC]],"-",tbControle[[#This Row],[Item]],"-",tbControle[[#This Row],[Data Transferência]]))</f>
        <v>10111238-220-44000</v>
      </c>
      <c r="AA93" s="51">
        <f>IF(tbControle[Item Exclusívo]="","",1/COUNTIF(tbControle[Item Exclusívo],tbControle[[#This Row],[Item Exclusívo]]))</f>
        <v>1</v>
      </c>
      <c r="AB93" s="54">
        <f>IF(tbControle[Data Transferência]="","",MONTH(tbControle[Data Transferência]))</f>
        <v>6</v>
      </c>
      <c r="AC93" s="54">
        <f>IF(tbControle[Data Transferência]="","",YEAR(tbControle[Data Transferência]))</f>
        <v>2020</v>
      </c>
    </row>
    <row r="94" spans="1:29" ht="16.5" x14ac:dyDescent="0.25">
      <c r="A94" s="59">
        <v>10111238</v>
      </c>
      <c r="B94" s="55">
        <f ca="1">IF(tbControle[Data Inicial Comprador]="","",IF(tbControle[Data Final Comprador]="",TODAY()-tbControle[Data Transferência],tbControle[Data Final Comprador]-tbControle[Data Transferência]))</f>
        <v>3</v>
      </c>
      <c r="C94" s="56" t="s">
        <v>71</v>
      </c>
      <c r="D94" s="59">
        <v>230</v>
      </c>
      <c r="E94" s="57">
        <v>412208</v>
      </c>
      <c r="F94" s="57" t="s">
        <v>172</v>
      </c>
      <c r="G94" s="57">
        <v>1</v>
      </c>
      <c r="H94" s="60">
        <v>306.54000000000002</v>
      </c>
      <c r="I94" s="58">
        <v>44000</v>
      </c>
      <c r="J94" s="58">
        <v>44000</v>
      </c>
      <c r="K94" s="58" t="s">
        <v>7</v>
      </c>
      <c r="L94" s="58">
        <v>44003</v>
      </c>
      <c r="M94" s="58">
        <v>44000</v>
      </c>
      <c r="N94" s="59">
        <v>150</v>
      </c>
      <c r="O94" s="58" t="s">
        <v>187</v>
      </c>
      <c r="P94" s="58">
        <v>44002</v>
      </c>
      <c r="Q94" s="58"/>
      <c r="R94" s="58">
        <v>44003</v>
      </c>
      <c r="S94" s="59">
        <v>526341</v>
      </c>
      <c r="T94" s="60"/>
      <c r="U94" s="56" t="s">
        <v>188</v>
      </c>
      <c r="V94" s="58">
        <v>44003</v>
      </c>
      <c r="W94" s="58"/>
      <c r="X94" s="51">
        <f>IF(tbControle[ReqC]="","",1/COUNTIF(tbControle[ReqC],tbControle[[#This Row],[ReqC]]))</f>
        <v>3.8461538461538464E-2</v>
      </c>
      <c r="Y94" s="51">
        <f ca="1">IF(OR(tbControle[Qtde ReqC]="",tbControle[Aging '[dias']]=""),"",tbControle[Qtde ReqC]*tbControle[Aging '[dias']])</f>
        <v>0.11538461538461539</v>
      </c>
      <c r="Z94" s="51" t="str">
        <f>IF(OR(tbControle[[#This Row],[ReqC]]="",tbControle[[#This Row],[Item]]="",tbControle[[#This Row],[Data Transferência]]=""),"",_xlfn.CONCAT(tbControle[[#This Row],[ReqC]],"-",tbControle[[#This Row],[Item]],"-",tbControle[[#This Row],[Data Transferência]]))</f>
        <v>10111238-230-44000</v>
      </c>
      <c r="AA94" s="51">
        <f>IF(tbControle[Item Exclusívo]="","",1/COUNTIF(tbControle[Item Exclusívo],tbControle[[#This Row],[Item Exclusívo]]))</f>
        <v>1</v>
      </c>
      <c r="AB94" s="54">
        <f>IF(tbControle[Data Transferência]="","",MONTH(tbControle[Data Transferência]))</f>
        <v>6</v>
      </c>
      <c r="AC94" s="54">
        <f>IF(tbControle[Data Transferência]="","",YEAR(tbControle[Data Transferência]))</f>
        <v>2020</v>
      </c>
    </row>
    <row r="95" spans="1:29" ht="16.5" x14ac:dyDescent="0.25">
      <c r="A95" s="59">
        <v>10111238</v>
      </c>
      <c r="B95" s="55">
        <f ca="1">IF(tbControle[Data Inicial Comprador]="","",IF(tbControle[Data Final Comprador]="",TODAY()-tbControle[Data Transferência],tbControle[Data Final Comprador]-tbControle[Data Transferência]))</f>
        <v>3</v>
      </c>
      <c r="C95" s="56" t="s">
        <v>71</v>
      </c>
      <c r="D95" s="59">
        <v>240</v>
      </c>
      <c r="E95" s="57">
        <v>502003</v>
      </c>
      <c r="F95" s="57" t="s">
        <v>173</v>
      </c>
      <c r="G95" s="57">
        <v>1</v>
      </c>
      <c r="H95" s="60">
        <v>3250</v>
      </c>
      <c r="I95" s="58">
        <v>44000</v>
      </c>
      <c r="J95" s="58">
        <v>44000</v>
      </c>
      <c r="K95" s="58" t="s">
        <v>7</v>
      </c>
      <c r="L95" s="58">
        <v>44003</v>
      </c>
      <c r="M95" s="58">
        <v>44000</v>
      </c>
      <c r="N95" s="59">
        <v>150</v>
      </c>
      <c r="O95" s="58" t="s">
        <v>187</v>
      </c>
      <c r="P95" s="58">
        <v>44002</v>
      </c>
      <c r="Q95" s="58"/>
      <c r="R95" s="58">
        <v>44003</v>
      </c>
      <c r="S95" s="59">
        <v>526341</v>
      </c>
      <c r="T95" s="60"/>
      <c r="U95" s="56" t="s">
        <v>188</v>
      </c>
      <c r="V95" s="58">
        <v>44003</v>
      </c>
      <c r="W95" s="58"/>
      <c r="X95" s="51">
        <f>IF(tbControle[ReqC]="","",1/COUNTIF(tbControle[ReqC],tbControle[[#This Row],[ReqC]]))</f>
        <v>3.8461538461538464E-2</v>
      </c>
      <c r="Y95" s="51">
        <f ca="1">IF(OR(tbControle[Qtde ReqC]="",tbControle[Aging '[dias']]=""),"",tbControle[Qtde ReqC]*tbControle[Aging '[dias']])</f>
        <v>0.11538461538461539</v>
      </c>
      <c r="Z95" s="51" t="str">
        <f>IF(OR(tbControle[[#This Row],[ReqC]]="",tbControle[[#This Row],[Item]]="",tbControle[[#This Row],[Data Transferência]]=""),"",_xlfn.CONCAT(tbControle[[#This Row],[ReqC]],"-",tbControle[[#This Row],[Item]],"-",tbControle[[#This Row],[Data Transferência]]))</f>
        <v>10111238-240-44000</v>
      </c>
      <c r="AA95" s="51">
        <f>IF(tbControle[Item Exclusívo]="","",1/COUNTIF(tbControle[Item Exclusívo],tbControle[[#This Row],[Item Exclusívo]]))</f>
        <v>1</v>
      </c>
      <c r="AB95" s="54">
        <f>IF(tbControle[Data Transferência]="","",MONTH(tbControle[Data Transferência]))</f>
        <v>6</v>
      </c>
      <c r="AC95" s="54">
        <f>IF(tbControle[Data Transferência]="","",YEAR(tbControle[Data Transferência]))</f>
        <v>2020</v>
      </c>
    </row>
    <row r="96" spans="1:29" ht="16.5" x14ac:dyDescent="0.25">
      <c r="A96" s="59">
        <v>10111238</v>
      </c>
      <c r="B96" s="55">
        <f ca="1">IF(tbControle[Data Inicial Comprador]="","",IF(tbControle[Data Final Comprador]="",TODAY()-tbControle[Data Transferência],tbControle[Data Final Comprador]-tbControle[Data Transferência]))</f>
        <v>3</v>
      </c>
      <c r="C96" s="56" t="s">
        <v>71</v>
      </c>
      <c r="D96" s="59">
        <v>250</v>
      </c>
      <c r="E96" s="57">
        <v>296983</v>
      </c>
      <c r="F96" s="57" t="s">
        <v>174</v>
      </c>
      <c r="G96" s="57">
        <v>1</v>
      </c>
      <c r="H96" s="60">
        <v>1844.96</v>
      </c>
      <c r="I96" s="58">
        <v>44000</v>
      </c>
      <c r="J96" s="58">
        <v>44000</v>
      </c>
      <c r="K96" s="58" t="s">
        <v>7</v>
      </c>
      <c r="L96" s="58">
        <v>44003</v>
      </c>
      <c r="M96" s="58">
        <v>44000</v>
      </c>
      <c r="N96" s="59">
        <v>150</v>
      </c>
      <c r="O96" s="58" t="s">
        <v>187</v>
      </c>
      <c r="P96" s="58">
        <v>44002</v>
      </c>
      <c r="Q96" s="58"/>
      <c r="R96" s="58">
        <v>44003</v>
      </c>
      <c r="S96" s="59">
        <v>526341</v>
      </c>
      <c r="T96" s="60"/>
      <c r="U96" s="56" t="s">
        <v>188</v>
      </c>
      <c r="V96" s="58">
        <v>44003</v>
      </c>
      <c r="W96" s="58"/>
      <c r="X96" s="51">
        <f>IF(tbControle[ReqC]="","",1/COUNTIF(tbControle[ReqC],tbControle[[#This Row],[ReqC]]))</f>
        <v>3.8461538461538464E-2</v>
      </c>
      <c r="Y96" s="51">
        <f ca="1">IF(OR(tbControle[Qtde ReqC]="",tbControle[Aging '[dias']]=""),"",tbControle[Qtde ReqC]*tbControle[Aging '[dias']])</f>
        <v>0.11538461538461539</v>
      </c>
      <c r="Z96" s="51" t="str">
        <f>IF(OR(tbControle[[#This Row],[ReqC]]="",tbControle[[#This Row],[Item]]="",tbControle[[#This Row],[Data Transferência]]=""),"",_xlfn.CONCAT(tbControle[[#This Row],[ReqC]],"-",tbControle[[#This Row],[Item]],"-",tbControle[[#This Row],[Data Transferência]]))</f>
        <v>10111238-250-44000</v>
      </c>
      <c r="AA96" s="51">
        <f>IF(tbControle[Item Exclusívo]="","",1/COUNTIF(tbControle[Item Exclusívo],tbControle[[#This Row],[Item Exclusívo]]))</f>
        <v>1</v>
      </c>
      <c r="AB96" s="54">
        <f>IF(tbControle[Data Transferência]="","",MONTH(tbControle[Data Transferência]))</f>
        <v>6</v>
      </c>
      <c r="AC96" s="54">
        <f>IF(tbControle[Data Transferência]="","",YEAR(tbControle[Data Transferência]))</f>
        <v>2020</v>
      </c>
    </row>
    <row r="97" spans="1:29" ht="16.5" x14ac:dyDescent="0.25">
      <c r="A97" s="59">
        <v>10111238</v>
      </c>
      <c r="B97" s="55">
        <f ca="1">IF(tbControle[Data Inicial Comprador]="","",IF(tbControle[Data Final Comprador]="",TODAY()-tbControle[Data Transferência],tbControle[Data Final Comprador]-tbControle[Data Transferência]))</f>
        <v>3</v>
      </c>
      <c r="C97" s="56" t="s">
        <v>71</v>
      </c>
      <c r="D97" s="59">
        <v>260</v>
      </c>
      <c r="E97" s="57">
        <v>295456</v>
      </c>
      <c r="F97" s="57" t="s">
        <v>175</v>
      </c>
      <c r="G97" s="57">
        <v>1</v>
      </c>
      <c r="H97" s="60">
        <v>353.6</v>
      </c>
      <c r="I97" s="58">
        <v>44000</v>
      </c>
      <c r="J97" s="58">
        <v>44000</v>
      </c>
      <c r="K97" s="58" t="s">
        <v>7</v>
      </c>
      <c r="L97" s="58">
        <v>44003</v>
      </c>
      <c r="M97" s="58">
        <v>44000</v>
      </c>
      <c r="N97" s="59">
        <v>150</v>
      </c>
      <c r="O97" s="58" t="s">
        <v>187</v>
      </c>
      <c r="P97" s="58">
        <v>44002</v>
      </c>
      <c r="Q97" s="58"/>
      <c r="R97" s="58">
        <v>44003</v>
      </c>
      <c r="S97" s="59">
        <v>526341</v>
      </c>
      <c r="T97" s="60"/>
      <c r="U97" s="56" t="s">
        <v>188</v>
      </c>
      <c r="V97" s="58">
        <v>44003</v>
      </c>
      <c r="W97" s="58"/>
      <c r="X97" s="51">
        <f>IF(tbControle[ReqC]="","",1/COUNTIF(tbControle[ReqC],tbControle[[#This Row],[ReqC]]))</f>
        <v>3.8461538461538464E-2</v>
      </c>
      <c r="Y97" s="51">
        <f ca="1">IF(OR(tbControle[Qtde ReqC]="",tbControle[Aging '[dias']]=""),"",tbControle[Qtde ReqC]*tbControle[Aging '[dias']])</f>
        <v>0.11538461538461539</v>
      </c>
      <c r="Z97" s="51" t="str">
        <f>IF(OR(tbControle[[#This Row],[ReqC]]="",tbControle[[#This Row],[Item]]="",tbControle[[#This Row],[Data Transferência]]=""),"",_xlfn.CONCAT(tbControle[[#This Row],[ReqC]],"-",tbControle[[#This Row],[Item]],"-",tbControle[[#This Row],[Data Transferência]]))</f>
        <v>10111238-260-44000</v>
      </c>
      <c r="AA97" s="51">
        <f>IF(tbControle[Item Exclusívo]="","",1/COUNTIF(tbControle[Item Exclusívo],tbControle[[#This Row],[Item Exclusívo]]))</f>
        <v>1</v>
      </c>
      <c r="AB97" s="54">
        <f>IF(tbControle[Data Transferência]="","",MONTH(tbControle[Data Transferência]))</f>
        <v>6</v>
      </c>
      <c r="AC97" s="54">
        <f>IF(tbControle[Data Transferência]="","",YEAR(tbControle[Data Transferência]))</f>
        <v>2020</v>
      </c>
    </row>
    <row r="98" spans="1:29" ht="16.5" x14ac:dyDescent="0.25">
      <c r="A98" s="59">
        <v>10111239</v>
      </c>
      <c r="B98" s="55">
        <f ca="1">IF(tbControle[Data Inicial Comprador]="","",IF(tbControle[Data Final Comprador]="",TODAY()-tbControle[Data Transferência],tbControle[Data Final Comprador]-tbControle[Data Transferência]))</f>
        <v>40</v>
      </c>
      <c r="C98" s="56" t="s">
        <v>72</v>
      </c>
      <c r="D98" s="59">
        <v>10</v>
      </c>
      <c r="E98" s="57">
        <v>536455</v>
      </c>
      <c r="F98" s="57" t="s">
        <v>176</v>
      </c>
      <c r="G98" s="57">
        <v>1</v>
      </c>
      <c r="H98" s="60">
        <v>180</v>
      </c>
      <c r="I98" s="58">
        <v>44000</v>
      </c>
      <c r="J98" s="58">
        <v>44000</v>
      </c>
      <c r="K98" s="58" t="s">
        <v>11</v>
      </c>
      <c r="L98" s="58"/>
      <c r="M98" s="58"/>
      <c r="N98" s="59"/>
      <c r="O98" s="58"/>
      <c r="P98" s="58"/>
      <c r="Q98" s="58"/>
      <c r="R98" s="58"/>
      <c r="S98" s="59"/>
      <c r="T98" s="60"/>
      <c r="U98" s="56"/>
      <c r="V98" s="58"/>
      <c r="W98" s="58"/>
      <c r="X98" s="51">
        <f>IF(tbControle[ReqC]="","",1/COUNTIF(tbControle[ReqC],tbControle[[#This Row],[ReqC]]))</f>
        <v>0.5</v>
      </c>
      <c r="Y98" s="51">
        <f ca="1">IF(OR(tbControle[Qtde ReqC]="",tbControle[Aging '[dias']]=""),"",tbControle[Qtde ReqC]*tbControle[Aging '[dias']])</f>
        <v>20</v>
      </c>
      <c r="Z98" s="51" t="str">
        <f>IF(OR(tbControle[[#This Row],[ReqC]]="",tbControle[[#This Row],[Item]]="",tbControle[[#This Row],[Data Transferência]]=""),"",_xlfn.CONCAT(tbControle[[#This Row],[ReqC]],"-",tbControle[[#This Row],[Item]],"-",tbControle[[#This Row],[Data Transferência]]))</f>
        <v>10111239-10-44000</v>
      </c>
      <c r="AA98" s="51">
        <f>IF(tbControle[Item Exclusívo]="","",1/COUNTIF(tbControle[Item Exclusívo],tbControle[[#This Row],[Item Exclusívo]]))</f>
        <v>1</v>
      </c>
      <c r="AB98" s="54">
        <f>IF(tbControle[Data Transferência]="","",MONTH(tbControle[Data Transferência]))</f>
        <v>6</v>
      </c>
      <c r="AC98" s="54">
        <f>IF(tbControle[Data Transferência]="","",YEAR(tbControle[Data Transferência]))</f>
        <v>2020</v>
      </c>
    </row>
    <row r="99" spans="1:29" ht="16.5" x14ac:dyDescent="0.25">
      <c r="A99" s="59">
        <v>10111239</v>
      </c>
      <c r="B99" s="55">
        <f ca="1">IF(tbControle[Data Inicial Comprador]="","",IF(tbControle[Data Final Comprador]="",TODAY()-tbControle[Data Transferência],tbControle[Data Final Comprador]-tbControle[Data Transferência]))</f>
        <v>40</v>
      </c>
      <c r="C99" s="56" t="s">
        <v>72</v>
      </c>
      <c r="D99" s="59">
        <v>20</v>
      </c>
      <c r="E99" s="57">
        <v>536456</v>
      </c>
      <c r="F99" s="57" t="s">
        <v>177</v>
      </c>
      <c r="G99" s="57">
        <v>1</v>
      </c>
      <c r="H99" s="60">
        <v>180</v>
      </c>
      <c r="I99" s="58">
        <v>44000</v>
      </c>
      <c r="J99" s="58">
        <v>44000</v>
      </c>
      <c r="K99" s="58" t="s">
        <v>11</v>
      </c>
      <c r="L99" s="58"/>
      <c r="M99" s="58"/>
      <c r="N99" s="59"/>
      <c r="O99" s="58"/>
      <c r="P99" s="58"/>
      <c r="Q99" s="58"/>
      <c r="R99" s="58"/>
      <c r="S99" s="59"/>
      <c r="T99" s="60"/>
      <c r="U99" s="56"/>
      <c r="V99" s="58"/>
      <c r="W99" s="58"/>
      <c r="X99" s="51">
        <f>IF(tbControle[ReqC]="","",1/COUNTIF(tbControle[ReqC],tbControle[[#This Row],[ReqC]]))</f>
        <v>0.5</v>
      </c>
      <c r="Y99" s="51">
        <f ca="1">IF(OR(tbControle[Qtde ReqC]="",tbControle[Aging '[dias']]=""),"",tbControle[Qtde ReqC]*tbControle[Aging '[dias']])</f>
        <v>20</v>
      </c>
      <c r="Z99" s="51" t="str">
        <f>IF(OR(tbControle[[#This Row],[ReqC]]="",tbControle[[#This Row],[Item]]="",tbControle[[#This Row],[Data Transferência]]=""),"",_xlfn.CONCAT(tbControle[[#This Row],[ReqC]],"-",tbControle[[#This Row],[Item]],"-",tbControle[[#This Row],[Data Transferência]]))</f>
        <v>10111239-20-44000</v>
      </c>
      <c r="AA99" s="51">
        <f>IF(tbControle[Item Exclusívo]="","",1/COUNTIF(tbControle[Item Exclusívo],tbControle[[#This Row],[Item Exclusívo]]))</f>
        <v>1</v>
      </c>
      <c r="AB99" s="54">
        <f>IF(tbControle[Data Transferência]="","",MONTH(tbControle[Data Transferência]))</f>
        <v>6</v>
      </c>
      <c r="AC99" s="54">
        <f>IF(tbControle[Data Transferência]="","",YEAR(tbControle[Data Transferência]))</f>
        <v>2020</v>
      </c>
    </row>
  </sheetData>
  <dataConsolidate/>
  <conditionalFormatting sqref="B9:B99">
    <cfRule type="cellIs" dxfId="29" priority="4" operator="between">
      <formula>8</formula>
      <formula>9</formula>
    </cfRule>
    <cfRule type="cellIs" dxfId="28" priority="5" operator="between">
      <formula>1</formula>
      <formula>7</formula>
    </cfRule>
    <cfRule type="cellIs" dxfId="27" priority="6" operator="greaterThanOrEqual">
      <formula>10</formula>
    </cfRule>
  </conditionalFormatting>
  <dataValidations count="4">
    <dataValidation type="list" allowBlank="1" showInputMessage="1" showErrorMessage="1" sqref="C9:C99" xr:uid="{A4BE7BBD-A68F-4EFE-A816-ACB5FC471B57}">
      <formula1>INDIRECT("tbComprador[Nome Comprador]")</formula1>
    </dataValidation>
    <dataValidation type="list" allowBlank="1" showInputMessage="1" showErrorMessage="1" sqref="O9:O99" xr:uid="{D5746FBB-5B7E-484C-84F1-88F6A3A9F93F}">
      <formula1>"Em negociação,Finalizada - Com resposta,Finalizada - Sem resposta,Cancelada"</formula1>
    </dataValidation>
    <dataValidation type="list" allowBlank="1" showInputMessage="1" showErrorMessage="1" sqref="U9:U99" xr:uid="{ADC59612-16F5-4EC9-8818-AA3D0E52312A}">
      <formula1>"Em Aprovação,Aprovado,Rejeitado,Cancelado,Inconsistente"</formula1>
    </dataValidation>
    <dataValidation type="list" allowBlank="1" showInputMessage="1" showErrorMessage="1" sqref="K9:K99" xr:uid="{C113BF8C-ABDA-4C01-82E8-2287E53E94B1}">
      <formula1>"Concluído,Cancelado,Pendente,Em andamento"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252" id="{2EEF93DE-2527-4F3D-B1C6-AB19A70822BA}">
            <x14:iconSet iconSet="3Symbols" custom="1">
              <x14:cfvo type="percent">
                <xm:f>0</xm:f>
              </x14:cfvo>
              <x14:cfvo type="num" gte="0">
                <xm:f>7</xm:f>
              </x14:cfvo>
              <x14:cfvo type="num">
                <xm:f>10</xm:f>
              </x14:cfvo>
              <x14:cfIcon iconSet="3TrafficLights1" iconId="2"/>
              <x14:cfIcon iconSet="3Symbols" iconId="1"/>
              <x14:cfIcon iconSet="4RedToBlack" iconId="3"/>
            </x14:iconSet>
          </x14:cfRule>
          <xm:sqref>B9:B99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D0B67F-106F-45D2-A404-014EB1EF052B}">
  <sheetPr codeName="plDashboardGeral">
    <tabColor theme="5" tint="-0.249977111117893"/>
    <pageSetUpPr fitToPage="1"/>
  </sheetPr>
  <dimension ref="B1:U143"/>
  <sheetViews>
    <sheetView showGridLines="0" showRowColHeaders="0" topLeftCell="B1" zoomScaleNormal="100" workbookViewId="0">
      <selection activeCell="E2" sqref="E2"/>
    </sheetView>
  </sheetViews>
  <sheetFormatPr defaultColWidth="0" defaultRowHeight="15" customHeight="1" zeroHeight="1" x14ac:dyDescent="0.25"/>
  <cols>
    <col min="1" max="1" width="9.140625" style="7" hidden="1" customWidth="1"/>
    <col min="2" max="21" width="9.140625" style="7" customWidth="1"/>
    <col min="22" max="16384" width="9.140625" style="7" hidden="1"/>
  </cols>
  <sheetData>
    <row r="1" ht="12.75" x14ac:dyDescent="0.25"/>
    <row r="2" ht="12.75" x14ac:dyDescent="0.25"/>
    <row r="3" ht="12.75" x14ac:dyDescent="0.25"/>
    <row r="4" ht="12.75" x14ac:dyDescent="0.25"/>
    <row r="5" ht="12.75" x14ac:dyDescent="0.25"/>
    <row r="6" ht="12.75" x14ac:dyDescent="0.25"/>
    <row r="7" ht="12.75" x14ac:dyDescent="0.25"/>
    <row r="8" ht="12.75" x14ac:dyDescent="0.25"/>
    <row r="9" ht="12.75" x14ac:dyDescent="0.25"/>
    <row r="10" ht="12.75" x14ac:dyDescent="0.25"/>
    <row r="11" ht="12.75" x14ac:dyDescent="0.25"/>
    <row r="12" ht="12.75" x14ac:dyDescent="0.25"/>
    <row r="13" ht="12.75" x14ac:dyDescent="0.25"/>
    <row r="14" ht="12.75" x14ac:dyDescent="0.25"/>
    <row r="15" ht="12.75" x14ac:dyDescent="0.25"/>
    <row r="16" ht="12.75" x14ac:dyDescent="0.25"/>
    <row r="17" ht="12.75" x14ac:dyDescent="0.25"/>
    <row r="18" ht="12.75" x14ac:dyDescent="0.25"/>
    <row r="19" ht="12.75" x14ac:dyDescent="0.25"/>
    <row r="20" ht="12.75" x14ac:dyDescent="0.25"/>
    <row r="21" ht="12.75" x14ac:dyDescent="0.25"/>
    <row r="22" ht="12.75" x14ac:dyDescent="0.25"/>
    <row r="23" ht="12.75" x14ac:dyDescent="0.25"/>
    <row r="24" ht="12.75" x14ac:dyDescent="0.25"/>
    <row r="25" ht="12.75" x14ac:dyDescent="0.25"/>
    <row r="26" ht="12.75" x14ac:dyDescent="0.25"/>
    <row r="27" ht="12.75" x14ac:dyDescent="0.25"/>
    <row r="28" ht="12.75" x14ac:dyDescent="0.25"/>
    <row r="29" ht="12.75" x14ac:dyDescent="0.25"/>
    <row r="30" ht="12.75" x14ac:dyDescent="0.25"/>
    <row r="31" ht="12.75" x14ac:dyDescent="0.25"/>
    <row r="32" ht="12.75" x14ac:dyDescent="0.25"/>
    <row r="33" ht="12.75" x14ac:dyDescent="0.25"/>
    <row r="34" ht="12.75" x14ac:dyDescent="0.25"/>
    <row r="35" ht="12.75" x14ac:dyDescent="0.25"/>
    <row r="36" ht="12.75" x14ac:dyDescent="0.25"/>
    <row r="37" ht="12.75" x14ac:dyDescent="0.25"/>
    <row r="38" ht="12.75" x14ac:dyDescent="0.25"/>
    <row r="39" ht="12.75" x14ac:dyDescent="0.25"/>
    <row r="40" ht="12.75" x14ac:dyDescent="0.25"/>
    <row r="41" ht="12.75" x14ac:dyDescent="0.25"/>
    <row r="42" ht="12.75" x14ac:dyDescent="0.25"/>
    <row r="43" ht="12.75" hidden="1" x14ac:dyDescent="0.25"/>
    <row r="44" ht="12.75" hidden="1" x14ac:dyDescent="0.25"/>
    <row r="45" ht="12.75" hidden="1" x14ac:dyDescent="0.25"/>
    <row r="46" ht="12.75" hidden="1" x14ac:dyDescent="0.25"/>
    <row r="47" ht="12.75" hidden="1" x14ac:dyDescent="0.25"/>
    <row r="48" ht="12.75" hidden="1" x14ac:dyDescent="0.25"/>
    <row r="49" ht="12.75" hidden="1" x14ac:dyDescent="0.25"/>
    <row r="50" ht="12.75" hidden="1" x14ac:dyDescent="0.25"/>
    <row r="51" ht="12.75" hidden="1" x14ac:dyDescent="0.25"/>
    <row r="52" ht="12.75" hidden="1" x14ac:dyDescent="0.25"/>
    <row r="53" ht="12.75" hidden="1" x14ac:dyDescent="0.25"/>
    <row r="54" ht="12.75" hidden="1" x14ac:dyDescent="0.25"/>
    <row r="55" ht="12.75" hidden="1" x14ac:dyDescent="0.25"/>
    <row r="56" ht="12.75" hidden="1" x14ac:dyDescent="0.25"/>
    <row r="57" ht="12.75" hidden="1" x14ac:dyDescent="0.25"/>
    <row r="58" ht="12.75" hidden="1" x14ac:dyDescent="0.25"/>
    <row r="59" ht="12.75" hidden="1" x14ac:dyDescent="0.25"/>
    <row r="60" ht="12.75" hidden="1" x14ac:dyDescent="0.25"/>
    <row r="61" ht="12.75" hidden="1" x14ac:dyDescent="0.25"/>
    <row r="62" ht="12.75" hidden="1" x14ac:dyDescent="0.25"/>
    <row r="63" ht="12.75" hidden="1" x14ac:dyDescent="0.25"/>
    <row r="64" ht="12.75" hidden="1" x14ac:dyDescent="0.25"/>
    <row r="65" ht="12.75" hidden="1" x14ac:dyDescent="0.25"/>
    <row r="66" ht="12.75" hidden="1" x14ac:dyDescent="0.25"/>
    <row r="67" ht="12.75" hidden="1" x14ac:dyDescent="0.25"/>
    <row r="68" ht="12.75" hidden="1" x14ac:dyDescent="0.25"/>
    <row r="69" ht="12.75" hidden="1" x14ac:dyDescent="0.25"/>
    <row r="70" ht="12.75" hidden="1" x14ac:dyDescent="0.25"/>
    <row r="71" ht="12.75" hidden="1" x14ac:dyDescent="0.25"/>
    <row r="72" ht="12.75" hidden="1" x14ac:dyDescent="0.25"/>
    <row r="73" ht="12.75" hidden="1" x14ac:dyDescent="0.25"/>
    <row r="74" ht="12.75" hidden="1" x14ac:dyDescent="0.25"/>
    <row r="75" ht="12.75" hidden="1" x14ac:dyDescent="0.25"/>
    <row r="76" ht="12.75" hidden="1" x14ac:dyDescent="0.25"/>
    <row r="77" ht="12.75" hidden="1" x14ac:dyDescent="0.25"/>
    <row r="78" ht="12.75" hidden="1" x14ac:dyDescent="0.25"/>
    <row r="79" ht="12.75" hidden="1" x14ac:dyDescent="0.25"/>
    <row r="80" ht="12.75" hidden="1" x14ac:dyDescent="0.25"/>
    <row r="81" ht="12.75" hidden="1" x14ac:dyDescent="0.25"/>
    <row r="82" ht="12.75" hidden="1" x14ac:dyDescent="0.25"/>
    <row r="83" ht="12.75" hidden="1" x14ac:dyDescent="0.25"/>
    <row r="84" ht="12.75" hidden="1" x14ac:dyDescent="0.25"/>
    <row r="85" ht="12.75" hidden="1" x14ac:dyDescent="0.25"/>
    <row r="86" ht="12.75" hidden="1" x14ac:dyDescent="0.25"/>
    <row r="87" ht="12.75" hidden="1" x14ac:dyDescent="0.25"/>
    <row r="88" ht="12.75" hidden="1" x14ac:dyDescent="0.25"/>
    <row r="89" ht="12.75" hidden="1" x14ac:dyDescent="0.25"/>
    <row r="90" ht="15" hidden="1" customHeight="1" x14ac:dyDescent="0.25"/>
    <row r="91" ht="15" hidden="1" customHeight="1" x14ac:dyDescent="0.25"/>
    <row r="92" ht="15" hidden="1" customHeight="1" x14ac:dyDescent="0.25"/>
    <row r="93" ht="15" hidden="1" customHeight="1" x14ac:dyDescent="0.25"/>
    <row r="94" ht="15" hidden="1" customHeight="1" x14ac:dyDescent="0.25"/>
    <row r="95" ht="15" hidden="1" customHeight="1" x14ac:dyDescent="0.25"/>
    <row r="96" ht="15" hidden="1" customHeight="1" x14ac:dyDescent="0.25"/>
    <row r="97" ht="15" hidden="1" customHeight="1" x14ac:dyDescent="0.25"/>
    <row r="98" ht="15" hidden="1" customHeight="1" x14ac:dyDescent="0.25"/>
    <row r="99" ht="15" hidden="1" customHeight="1" x14ac:dyDescent="0.25"/>
    <row r="100" ht="15" hidden="1" customHeight="1" x14ac:dyDescent="0.25"/>
    <row r="101" ht="15" hidden="1" customHeight="1" x14ac:dyDescent="0.25"/>
    <row r="102" ht="15" hidden="1" customHeight="1" x14ac:dyDescent="0.25"/>
    <row r="103" ht="15" hidden="1" customHeight="1" x14ac:dyDescent="0.25"/>
    <row r="104" ht="15" hidden="1" customHeight="1" x14ac:dyDescent="0.25"/>
    <row r="105" ht="15" hidden="1" customHeight="1" x14ac:dyDescent="0.25"/>
    <row r="106" ht="15" hidden="1" customHeight="1" x14ac:dyDescent="0.25"/>
    <row r="107" ht="15" hidden="1" customHeight="1" x14ac:dyDescent="0.25"/>
    <row r="108" ht="15" hidden="1" customHeight="1" x14ac:dyDescent="0.25"/>
    <row r="109" ht="15" hidden="1" customHeight="1" x14ac:dyDescent="0.25"/>
    <row r="110" ht="15" hidden="1" customHeight="1" x14ac:dyDescent="0.25"/>
    <row r="111" ht="15" hidden="1" customHeight="1" x14ac:dyDescent="0.25"/>
    <row r="112" ht="15" hidden="1" customHeight="1" x14ac:dyDescent="0.25"/>
    <row r="113" ht="15" hidden="1" customHeight="1" x14ac:dyDescent="0.25"/>
    <row r="114" ht="15" hidden="1" customHeight="1" x14ac:dyDescent="0.25"/>
    <row r="115" ht="15" hidden="1" customHeight="1" x14ac:dyDescent="0.25"/>
    <row r="116" ht="15" hidden="1" customHeight="1" x14ac:dyDescent="0.25"/>
    <row r="117" ht="15" hidden="1" customHeight="1" x14ac:dyDescent="0.25"/>
    <row r="118" ht="15" hidden="1" customHeight="1" x14ac:dyDescent="0.25"/>
    <row r="119" ht="15" hidden="1" customHeight="1" x14ac:dyDescent="0.25"/>
    <row r="120" ht="15" hidden="1" customHeight="1" x14ac:dyDescent="0.25"/>
    <row r="121" ht="15" hidden="1" customHeight="1" x14ac:dyDescent="0.25"/>
    <row r="122" ht="15" hidden="1" customHeight="1" x14ac:dyDescent="0.25"/>
    <row r="123" ht="15" hidden="1" customHeight="1" x14ac:dyDescent="0.25"/>
    <row r="124" ht="15" hidden="1" customHeight="1" x14ac:dyDescent="0.25"/>
    <row r="125" ht="15" hidden="1" customHeight="1" x14ac:dyDescent="0.25"/>
    <row r="126" ht="15" hidden="1" customHeight="1" x14ac:dyDescent="0.25"/>
    <row r="127" ht="15" hidden="1" customHeight="1" x14ac:dyDescent="0.25"/>
    <row r="128" ht="15" hidden="1" customHeight="1" x14ac:dyDescent="0.25"/>
    <row r="129" ht="15" hidden="1" customHeight="1" x14ac:dyDescent="0.25"/>
    <row r="130" ht="15" hidden="1" customHeight="1" x14ac:dyDescent="0.25"/>
    <row r="131" ht="15" hidden="1" customHeight="1" x14ac:dyDescent="0.25"/>
    <row r="132" ht="15" hidden="1" customHeight="1" x14ac:dyDescent="0.25"/>
    <row r="133" ht="15" hidden="1" customHeight="1" x14ac:dyDescent="0.25"/>
    <row r="134" ht="15" hidden="1" customHeight="1" x14ac:dyDescent="0.25"/>
    <row r="135" ht="15" hidden="1" customHeight="1" x14ac:dyDescent="0.25"/>
    <row r="136" ht="15" hidden="1" customHeight="1" x14ac:dyDescent="0.25"/>
    <row r="137" ht="15" hidden="1" customHeight="1" x14ac:dyDescent="0.25"/>
    <row r="138" ht="15" hidden="1" customHeight="1" x14ac:dyDescent="0.25"/>
    <row r="139" ht="15" hidden="1" customHeight="1" x14ac:dyDescent="0.25"/>
    <row r="140" ht="15" hidden="1" customHeight="1" x14ac:dyDescent="0.25"/>
    <row r="141" ht="15" hidden="1" customHeight="1" x14ac:dyDescent="0.25"/>
    <row r="142" ht="15" hidden="1" customHeight="1" x14ac:dyDescent="0.25"/>
    <row r="143" ht="15" hidden="1" customHeight="1" x14ac:dyDescent="0.25"/>
  </sheetData>
  <sheetProtection algorithmName="SHA-512" hashValue="JSsvxgHfYQjG928xCV+cpm+z+IetJbcMbd0+DM1qcCvF3eGdxOhwzlxWJODLtIb77PZSW7rXwKntP+9gHySrQQ==" saltValue="N6vxNSbVKG8Ai3M0TcTfVQ==" spinCount="100000" sheet="1" objects="1" scenarios="1" selectLockedCells="1" selectUnlockedCells="1"/>
  <pageMargins left="0.25" right="0.25" top="0.75" bottom="0.75" header="0.3" footer="0.3"/>
  <pageSetup paperSize="9" scale="96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91" r:id="rId4" name="Drop Down 943">
              <controlPr defaultSize="0" print="0" autoLine="0" autoPict="0">
                <anchor moveWithCells="1">
                  <from>
                    <xdr:col>1</xdr:col>
                    <xdr:colOff>66675</xdr:colOff>
                    <xdr:row>6</xdr:row>
                    <xdr:rowOff>47625</xdr:rowOff>
                  </from>
                  <to>
                    <xdr:col>3</xdr:col>
                    <xdr:colOff>66675</xdr:colOff>
                    <xdr:row>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5C794E-6A10-4F8F-848E-0FF0808BD6B0}">
  <sheetPr codeName="plDashboardCompradores">
    <tabColor theme="1" tint="0.14999847407452621"/>
    <pageSetUpPr fitToPage="1"/>
  </sheetPr>
  <dimension ref="B1:U137"/>
  <sheetViews>
    <sheetView showGridLines="0" showRowColHeaders="0" topLeftCell="B1" zoomScaleNormal="100" workbookViewId="0">
      <selection activeCell="B3" sqref="B3"/>
    </sheetView>
  </sheetViews>
  <sheetFormatPr defaultColWidth="0" defaultRowHeight="15" customHeight="1" zeroHeight="1" x14ac:dyDescent="0.25"/>
  <cols>
    <col min="1" max="1" width="9.140625" style="7" hidden="1" customWidth="1"/>
    <col min="2" max="21" width="9.140625" style="7" customWidth="1"/>
    <col min="22" max="16384" width="9.140625" style="7" hidden="1"/>
  </cols>
  <sheetData>
    <row r="1" ht="12.75" x14ac:dyDescent="0.25"/>
    <row r="2" ht="12.75" x14ac:dyDescent="0.25"/>
    <row r="3" ht="12.75" x14ac:dyDescent="0.25"/>
    <row r="4" ht="12.75" x14ac:dyDescent="0.25"/>
    <row r="5" ht="12.75" x14ac:dyDescent="0.25"/>
    <row r="6" ht="12.75" x14ac:dyDescent="0.25"/>
    <row r="7" ht="12.75" x14ac:dyDescent="0.25"/>
    <row r="8" ht="12.75" x14ac:dyDescent="0.25"/>
    <row r="9" ht="12.75" x14ac:dyDescent="0.25"/>
    <row r="10" ht="12.75" x14ac:dyDescent="0.25"/>
    <row r="11" ht="12.75" x14ac:dyDescent="0.25"/>
    <row r="12" ht="12.75" x14ac:dyDescent="0.25"/>
    <row r="13" ht="12.75" x14ac:dyDescent="0.25"/>
    <row r="14" ht="12.75" x14ac:dyDescent="0.25"/>
    <row r="15" ht="12.75" x14ac:dyDescent="0.25"/>
    <row r="16" ht="12.75" x14ac:dyDescent="0.25"/>
    <row r="17" ht="12.75" x14ac:dyDescent="0.25"/>
    <row r="18" ht="12.75" x14ac:dyDescent="0.25"/>
    <row r="19" ht="12.75" x14ac:dyDescent="0.25"/>
    <row r="20" ht="12.75" x14ac:dyDescent="0.25"/>
    <row r="21" ht="12.75" x14ac:dyDescent="0.25"/>
    <row r="22" ht="12.75" x14ac:dyDescent="0.25"/>
    <row r="23" ht="12.75" x14ac:dyDescent="0.25"/>
    <row r="24" ht="12.75" x14ac:dyDescent="0.25"/>
    <row r="25" ht="12.75" x14ac:dyDescent="0.25"/>
    <row r="26" ht="12.75" x14ac:dyDescent="0.25"/>
    <row r="27" ht="12.75" x14ac:dyDescent="0.25"/>
    <row r="28" ht="12.75" x14ac:dyDescent="0.25"/>
    <row r="29" ht="12.75" x14ac:dyDescent="0.25"/>
    <row r="30" ht="12.75" x14ac:dyDescent="0.25"/>
    <row r="31" ht="12.75" x14ac:dyDescent="0.25"/>
    <row r="32" ht="12.75" x14ac:dyDescent="0.25"/>
    <row r="33" ht="12.75" x14ac:dyDescent="0.25"/>
    <row r="34" ht="12.75" x14ac:dyDescent="0.25"/>
    <row r="35" ht="12.75" x14ac:dyDescent="0.25"/>
    <row r="36" ht="12.75" x14ac:dyDescent="0.25"/>
    <row r="37" ht="12.75" x14ac:dyDescent="0.25"/>
    <row r="38" ht="12.75" x14ac:dyDescent="0.25"/>
    <row r="39" ht="12.75" x14ac:dyDescent="0.25"/>
    <row r="40" ht="12.75" x14ac:dyDescent="0.25"/>
    <row r="41" ht="12.75" x14ac:dyDescent="0.25"/>
    <row r="42" ht="12.75" x14ac:dyDescent="0.25"/>
    <row r="43" ht="12.75" hidden="1" x14ac:dyDescent="0.25"/>
    <row r="44" ht="12.75" hidden="1" x14ac:dyDescent="0.25"/>
    <row r="45" ht="12.75" hidden="1" x14ac:dyDescent="0.25"/>
    <row r="46" ht="12.75" hidden="1" x14ac:dyDescent="0.25"/>
    <row r="47" ht="12.75" hidden="1" x14ac:dyDescent="0.25"/>
    <row r="48" ht="12.75" hidden="1" x14ac:dyDescent="0.25"/>
    <row r="49" ht="12.75" hidden="1" x14ac:dyDescent="0.25"/>
    <row r="50" ht="12.75" hidden="1" x14ac:dyDescent="0.25"/>
    <row r="51" ht="12.75" hidden="1" x14ac:dyDescent="0.25"/>
    <row r="52" ht="12.75" hidden="1" x14ac:dyDescent="0.25"/>
    <row r="53" ht="12.75" hidden="1" x14ac:dyDescent="0.25"/>
    <row r="54" ht="12.75" hidden="1" x14ac:dyDescent="0.25"/>
    <row r="55" ht="12.75" hidden="1" x14ac:dyDescent="0.25"/>
    <row r="56" ht="12.75" hidden="1" x14ac:dyDescent="0.25"/>
    <row r="57" ht="12.75" hidden="1" x14ac:dyDescent="0.25"/>
    <row r="58" ht="12.75" hidden="1" x14ac:dyDescent="0.25"/>
    <row r="59" ht="12.75" hidden="1" x14ac:dyDescent="0.25"/>
    <row r="60" ht="12.75" hidden="1" x14ac:dyDescent="0.25"/>
    <row r="61" ht="12.75" hidden="1" x14ac:dyDescent="0.25"/>
    <row r="62" ht="12.75" hidden="1" x14ac:dyDescent="0.25"/>
    <row r="63" ht="12.75" hidden="1" x14ac:dyDescent="0.25"/>
    <row r="64" ht="12.75" hidden="1" x14ac:dyDescent="0.25"/>
    <row r="65" ht="12.75" hidden="1" x14ac:dyDescent="0.25"/>
    <row r="66" ht="12.75" hidden="1" x14ac:dyDescent="0.25"/>
    <row r="67" ht="12.75" hidden="1" x14ac:dyDescent="0.25"/>
    <row r="68" ht="12.75" hidden="1" x14ac:dyDescent="0.25"/>
    <row r="69" ht="12.75" hidden="1" x14ac:dyDescent="0.25"/>
    <row r="70" ht="12.75" hidden="1" x14ac:dyDescent="0.25"/>
    <row r="71" ht="12.75" hidden="1" x14ac:dyDescent="0.25"/>
    <row r="72" ht="12.75" hidden="1" x14ac:dyDescent="0.25"/>
    <row r="73" ht="12.75" hidden="1" x14ac:dyDescent="0.25"/>
    <row r="74" ht="12.75" hidden="1" x14ac:dyDescent="0.25"/>
    <row r="75" ht="12.75" hidden="1" x14ac:dyDescent="0.25"/>
    <row r="76" ht="12.75" hidden="1" x14ac:dyDescent="0.25"/>
    <row r="77" ht="12.75" hidden="1" x14ac:dyDescent="0.25"/>
    <row r="78" ht="12.75" hidden="1" x14ac:dyDescent="0.25"/>
    <row r="79" ht="12.75" hidden="1" x14ac:dyDescent="0.25"/>
    <row r="80" ht="12.75" hidden="1" x14ac:dyDescent="0.25"/>
    <row r="81" ht="12.75" hidden="1" x14ac:dyDescent="0.25"/>
    <row r="82" ht="12.75" hidden="1" x14ac:dyDescent="0.25"/>
    <row r="83" ht="12.75" hidden="1" x14ac:dyDescent="0.25"/>
    <row r="84" ht="12.75" hidden="1" x14ac:dyDescent="0.25"/>
    <row r="85" ht="12.75" hidden="1" x14ac:dyDescent="0.25"/>
    <row r="86" ht="12.75" hidden="1" x14ac:dyDescent="0.25"/>
    <row r="87" ht="12.75" hidden="1" x14ac:dyDescent="0.25"/>
    <row r="88" ht="12.75" hidden="1" x14ac:dyDescent="0.25"/>
    <row r="89" ht="12.75" hidden="1" x14ac:dyDescent="0.25"/>
    <row r="90" ht="15" hidden="1" customHeight="1" x14ac:dyDescent="0.25"/>
    <row r="91" ht="15" hidden="1" customHeight="1" x14ac:dyDescent="0.25"/>
    <row r="92" ht="15" hidden="1" customHeight="1" x14ac:dyDescent="0.25"/>
    <row r="93" ht="15" hidden="1" customHeight="1" x14ac:dyDescent="0.25"/>
    <row r="94" ht="15" hidden="1" customHeight="1" x14ac:dyDescent="0.25"/>
    <row r="95" ht="15" hidden="1" customHeight="1" x14ac:dyDescent="0.25"/>
    <row r="96" ht="15" hidden="1" customHeight="1" x14ac:dyDescent="0.25"/>
    <row r="97" ht="15" hidden="1" customHeight="1" x14ac:dyDescent="0.25"/>
    <row r="98" ht="15" hidden="1" customHeight="1" x14ac:dyDescent="0.25"/>
    <row r="99" ht="15" hidden="1" customHeight="1" x14ac:dyDescent="0.25"/>
    <row r="100" ht="15" hidden="1" customHeight="1" x14ac:dyDescent="0.25"/>
    <row r="101" ht="15" hidden="1" customHeight="1" x14ac:dyDescent="0.25"/>
    <row r="102" ht="15" hidden="1" customHeight="1" x14ac:dyDescent="0.25"/>
    <row r="103" ht="15" hidden="1" customHeight="1" x14ac:dyDescent="0.25"/>
    <row r="104" ht="15" hidden="1" customHeight="1" x14ac:dyDescent="0.25"/>
    <row r="105" ht="15" hidden="1" customHeight="1" x14ac:dyDescent="0.25"/>
    <row r="106" ht="15" hidden="1" customHeight="1" x14ac:dyDescent="0.25"/>
    <row r="107" ht="15" hidden="1" customHeight="1" x14ac:dyDescent="0.25"/>
    <row r="108" ht="15" hidden="1" customHeight="1" x14ac:dyDescent="0.25"/>
    <row r="109" ht="15" hidden="1" customHeight="1" x14ac:dyDescent="0.25"/>
    <row r="110" ht="15" hidden="1" customHeight="1" x14ac:dyDescent="0.25"/>
    <row r="111" ht="15" hidden="1" customHeight="1" x14ac:dyDescent="0.25"/>
    <row r="112" ht="15" hidden="1" customHeight="1" x14ac:dyDescent="0.25"/>
    <row r="113" ht="15" hidden="1" customHeight="1" x14ac:dyDescent="0.25"/>
    <row r="114" ht="15" hidden="1" customHeight="1" x14ac:dyDescent="0.25"/>
    <row r="115" ht="15" hidden="1" customHeight="1" x14ac:dyDescent="0.25"/>
    <row r="116" ht="15" hidden="1" customHeight="1" x14ac:dyDescent="0.25"/>
    <row r="117" ht="15" hidden="1" customHeight="1" x14ac:dyDescent="0.25"/>
    <row r="118" ht="15" hidden="1" customHeight="1" x14ac:dyDescent="0.25"/>
    <row r="119" ht="15" hidden="1" customHeight="1" x14ac:dyDescent="0.25"/>
    <row r="120" ht="15" hidden="1" customHeight="1" x14ac:dyDescent="0.25"/>
    <row r="121" ht="15" hidden="1" customHeight="1" x14ac:dyDescent="0.25"/>
    <row r="122" ht="15" hidden="1" customHeight="1" x14ac:dyDescent="0.25"/>
    <row r="123" ht="15" hidden="1" customHeight="1" x14ac:dyDescent="0.25"/>
    <row r="124" ht="15" hidden="1" customHeight="1" x14ac:dyDescent="0.25"/>
    <row r="125" ht="15" hidden="1" customHeight="1" x14ac:dyDescent="0.25"/>
    <row r="126" ht="15" hidden="1" customHeight="1" x14ac:dyDescent="0.25"/>
    <row r="127" ht="15" hidden="1" customHeight="1" x14ac:dyDescent="0.25"/>
    <row r="128" ht="15" hidden="1" customHeight="1" x14ac:dyDescent="0.25"/>
    <row r="129" ht="15" hidden="1" customHeight="1" x14ac:dyDescent="0.25"/>
    <row r="130" ht="15" hidden="1" customHeight="1" x14ac:dyDescent="0.25"/>
    <row r="131" ht="15" hidden="1" customHeight="1" x14ac:dyDescent="0.25"/>
    <row r="132" ht="15" hidden="1" customHeight="1" x14ac:dyDescent="0.25"/>
    <row r="133" ht="15" hidden="1" customHeight="1" x14ac:dyDescent="0.25"/>
    <row r="134" ht="15" hidden="1" customHeight="1" x14ac:dyDescent="0.25"/>
    <row r="135" ht="15" hidden="1" customHeight="1" x14ac:dyDescent="0.25"/>
    <row r="136" ht="15" hidden="1" customHeight="1" x14ac:dyDescent="0.25"/>
    <row r="137" ht="15" hidden="1" customHeight="1" x14ac:dyDescent="0.25"/>
  </sheetData>
  <sheetProtection algorithmName="SHA-512" hashValue="u5QPLlgxDryrZCdhtbD0Qw6oRlOgLOLa7lhI/Wu/hQptCAuegEniI1S0ZXghK95sQG4iM1fzbslsOiojCxST1g==" saltValue="wMPQhdIIEEsthsoG3BzXRg==" spinCount="100000" sheet="1" objects="1" scenarios="1" selectLockedCells="1" selectUnlockedCells="1"/>
  <pageMargins left="0.25" right="0.25" top="0.75" bottom="0.75" header="0.3" footer="0.3"/>
  <pageSetup paperSize="9" scale="94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26" r:id="rId4" name="Drop Down 30">
              <controlPr defaultSize="0" print="0" autoLine="0" autoPict="0">
                <anchor moveWithCells="1">
                  <from>
                    <xdr:col>14</xdr:col>
                    <xdr:colOff>38100</xdr:colOff>
                    <xdr:row>6</xdr:row>
                    <xdr:rowOff>9525</xdr:rowOff>
                  </from>
                  <to>
                    <xdr:col>18</xdr:col>
                    <xdr:colOff>533400</xdr:colOff>
                    <xdr:row>7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9C4D22-7AB9-4BB7-A916-A8E76716D2E3}">
  <sheetPr codeName="plDados">
    <tabColor theme="8" tint="-0.249977111117893"/>
  </sheetPr>
  <dimension ref="A1:B8"/>
  <sheetViews>
    <sheetView showGridLines="0" workbookViewId="0">
      <selection activeCell="A8" sqref="A8"/>
    </sheetView>
  </sheetViews>
  <sheetFormatPr defaultRowHeight="15" x14ac:dyDescent="0.25"/>
  <cols>
    <col min="2" max="2" width="111.5703125" customWidth="1"/>
  </cols>
  <sheetData>
    <row r="1" spans="1:2" ht="15.75" x14ac:dyDescent="0.3">
      <c r="A1" s="37" t="s">
        <v>50</v>
      </c>
    </row>
    <row r="2" spans="1:2" x14ac:dyDescent="0.25">
      <c r="A2" s="32"/>
    </row>
    <row r="3" spans="1:2" ht="16.5" x14ac:dyDescent="0.25">
      <c r="A3" s="8" t="s">
        <v>46</v>
      </c>
      <c r="B3" s="8" t="s">
        <v>47</v>
      </c>
    </row>
    <row r="4" spans="1:2" ht="16.5" x14ac:dyDescent="0.25">
      <c r="A4" s="8">
        <v>1</v>
      </c>
      <c r="B4" s="8" t="s">
        <v>68</v>
      </c>
    </row>
    <row r="5" spans="1:2" ht="16.5" x14ac:dyDescent="0.25">
      <c r="A5" s="8">
        <v>2</v>
      </c>
      <c r="B5" s="8" t="s">
        <v>69</v>
      </c>
    </row>
    <row r="6" spans="1:2" ht="16.5" x14ac:dyDescent="0.25">
      <c r="A6" s="8">
        <v>3</v>
      </c>
      <c r="B6" s="8" t="s">
        <v>70</v>
      </c>
    </row>
    <row r="7" spans="1:2" ht="16.5" x14ac:dyDescent="0.25">
      <c r="A7" s="8">
        <v>4</v>
      </c>
      <c r="B7" s="8" t="s">
        <v>71</v>
      </c>
    </row>
    <row r="8" spans="1:2" ht="16.5" x14ac:dyDescent="0.25">
      <c r="A8" s="8">
        <v>5</v>
      </c>
      <c r="B8" s="8" t="s">
        <v>72</v>
      </c>
    </row>
  </sheetData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526504-73AE-4E54-A943-EDF021814EBC}">
  <sheetPr codeName="Planilha1">
    <tabColor theme="0"/>
  </sheetPr>
  <dimension ref="A1:O120"/>
  <sheetViews>
    <sheetView workbookViewId="0"/>
  </sheetViews>
  <sheetFormatPr defaultColWidth="11.42578125" defaultRowHeight="15" outlineLevelRow="2" x14ac:dyDescent="0.3"/>
  <cols>
    <col min="1" max="1" width="13.140625" style="41" bestFit="1" customWidth="1"/>
    <col min="2" max="2" width="20.140625" style="41" bestFit="1" customWidth="1"/>
    <col min="3" max="3" width="19.7109375" style="41" bestFit="1" customWidth="1"/>
    <col min="4" max="4" width="9.7109375" style="41" customWidth="1"/>
    <col min="5" max="5" width="7.5703125" style="41" customWidth="1"/>
    <col min="6" max="6" width="45.7109375" style="41" bestFit="1" customWidth="1"/>
    <col min="7" max="7" width="12.42578125" style="41" bestFit="1" customWidth="1"/>
    <col min="8" max="8" width="17" style="41" bestFit="1" customWidth="1"/>
    <col min="9" max="9" width="11.7109375" style="41" bestFit="1" customWidth="1"/>
    <col min="10" max="10" width="17.5703125" style="41" bestFit="1" customWidth="1"/>
    <col min="11" max="11" width="15.28515625" style="41" bestFit="1" customWidth="1"/>
    <col min="12" max="12" width="15.7109375" style="41" bestFit="1" customWidth="1"/>
    <col min="13" max="13" width="17" style="41" bestFit="1" customWidth="1"/>
    <col min="14" max="14" width="6.42578125" style="41" customWidth="1"/>
    <col min="15" max="15" width="20" style="41" bestFit="1" customWidth="1"/>
    <col min="16" max="16384" width="11.42578125" style="40"/>
  </cols>
  <sheetData>
    <row r="1" spans="1:15" x14ac:dyDescent="0.3">
      <c r="A1" s="45" t="s">
        <v>73</v>
      </c>
      <c r="B1" s="45" t="s">
        <v>74</v>
      </c>
      <c r="C1" s="45" t="s">
        <v>75</v>
      </c>
      <c r="D1" s="45" t="s">
        <v>76</v>
      </c>
      <c r="E1" s="45" t="s">
        <v>2</v>
      </c>
      <c r="F1" s="45" t="s">
        <v>77</v>
      </c>
      <c r="G1" s="45" t="s">
        <v>78</v>
      </c>
      <c r="H1" s="45" t="s">
        <v>79</v>
      </c>
      <c r="I1" s="45" t="s">
        <v>80</v>
      </c>
      <c r="J1" s="45" t="s">
        <v>81</v>
      </c>
      <c r="K1" s="45" t="s">
        <v>82</v>
      </c>
      <c r="L1" s="45" t="s">
        <v>83</v>
      </c>
      <c r="M1" s="45" t="s">
        <v>84</v>
      </c>
      <c r="N1" s="45" t="s">
        <v>85</v>
      </c>
      <c r="O1" s="45" t="s">
        <v>86</v>
      </c>
    </row>
    <row r="2" spans="1:15" x14ac:dyDescent="0.3">
      <c r="A2" s="46"/>
      <c r="B2" s="47"/>
      <c r="C2" s="47"/>
      <c r="D2" s="47"/>
      <c r="E2" s="47"/>
      <c r="F2" s="47"/>
      <c r="G2" s="48"/>
      <c r="H2" s="47"/>
      <c r="I2" s="49">
        <v>262888.53000000003</v>
      </c>
      <c r="J2" s="47"/>
      <c r="K2" s="47"/>
      <c r="L2" s="47"/>
      <c r="M2" s="46"/>
      <c r="N2" s="47"/>
      <c r="O2" s="47"/>
    </row>
    <row r="3" spans="1:15" outlineLevel="1" x14ac:dyDescent="0.3">
      <c r="A3" s="46"/>
      <c r="B3" s="47"/>
      <c r="C3" s="47">
        <v>10111213</v>
      </c>
      <c r="D3" s="47"/>
      <c r="E3" s="47"/>
      <c r="F3" s="47"/>
      <c r="G3" s="48"/>
      <c r="H3" s="47"/>
      <c r="I3" s="49">
        <v>19493.75</v>
      </c>
      <c r="J3" s="47"/>
      <c r="K3" s="47"/>
      <c r="L3" s="47"/>
      <c r="M3" s="46"/>
      <c r="N3" s="47"/>
      <c r="O3" s="47"/>
    </row>
    <row r="4" spans="1:15" outlineLevel="2" x14ac:dyDescent="0.3">
      <c r="A4" s="42">
        <v>43949</v>
      </c>
      <c r="B4" s="5" t="s">
        <v>178</v>
      </c>
      <c r="C4" s="5">
        <v>10111213</v>
      </c>
      <c r="D4" s="5">
        <v>10</v>
      </c>
      <c r="E4" s="5">
        <v>175110</v>
      </c>
      <c r="F4" s="5" t="s">
        <v>87</v>
      </c>
      <c r="G4" s="43">
        <v>10</v>
      </c>
      <c r="H4" s="5" t="s">
        <v>88</v>
      </c>
      <c r="I4" s="44">
        <v>100</v>
      </c>
      <c r="J4" s="5">
        <v>2</v>
      </c>
      <c r="K4" s="5" t="s">
        <v>179</v>
      </c>
      <c r="L4" s="5" t="s">
        <v>179</v>
      </c>
      <c r="M4" s="42">
        <v>43938</v>
      </c>
      <c r="N4" s="5" t="s">
        <v>179</v>
      </c>
      <c r="O4" s="5" t="s">
        <v>179</v>
      </c>
    </row>
    <row r="5" spans="1:15" outlineLevel="2" x14ac:dyDescent="0.3">
      <c r="A5" s="42">
        <v>43949</v>
      </c>
      <c r="B5" s="5" t="s">
        <v>178</v>
      </c>
      <c r="C5" s="5">
        <v>10111213</v>
      </c>
      <c r="D5" s="5">
        <v>20</v>
      </c>
      <c r="E5" s="5">
        <v>316461</v>
      </c>
      <c r="F5" s="5" t="s">
        <v>89</v>
      </c>
      <c r="G5" s="43">
        <v>50</v>
      </c>
      <c r="H5" s="5" t="s">
        <v>88</v>
      </c>
      <c r="I5" s="44">
        <v>3250</v>
      </c>
      <c r="J5" s="5">
        <v>2</v>
      </c>
      <c r="K5" s="5" t="s">
        <v>179</v>
      </c>
      <c r="L5" s="5" t="s">
        <v>179</v>
      </c>
      <c r="M5" s="42">
        <v>43938</v>
      </c>
      <c r="N5" s="5" t="s">
        <v>179</v>
      </c>
      <c r="O5" s="5" t="s">
        <v>179</v>
      </c>
    </row>
    <row r="6" spans="1:15" outlineLevel="2" x14ac:dyDescent="0.3">
      <c r="A6" s="42">
        <v>43949</v>
      </c>
      <c r="B6" s="5" t="s">
        <v>178</v>
      </c>
      <c r="C6" s="5">
        <v>10111213</v>
      </c>
      <c r="D6" s="5">
        <v>30</v>
      </c>
      <c r="E6" s="5">
        <v>178073</v>
      </c>
      <c r="F6" s="5" t="s">
        <v>90</v>
      </c>
      <c r="G6" s="43">
        <v>15</v>
      </c>
      <c r="H6" s="5" t="s">
        <v>88</v>
      </c>
      <c r="I6" s="44">
        <v>1041.3</v>
      </c>
      <c r="J6" s="5">
        <v>2</v>
      </c>
      <c r="K6" s="5" t="s">
        <v>179</v>
      </c>
      <c r="L6" s="5" t="s">
        <v>179</v>
      </c>
      <c r="M6" s="42">
        <v>43938</v>
      </c>
      <c r="N6" s="5" t="s">
        <v>179</v>
      </c>
      <c r="O6" s="5" t="s">
        <v>179</v>
      </c>
    </row>
    <row r="7" spans="1:15" outlineLevel="2" x14ac:dyDescent="0.3">
      <c r="A7" s="42">
        <v>43949</v>
      </c>
      <c r="B7" s="5" t="s">
        <v>178</v>
      </c>
      <c r="C7" s="5">
        <v>10111213</v>
      </c>
      <c r="D7" s="5">
        <v>40</v>
      </c>
      <c r="E7" s="5">
        <v>313498</v>
      </c>
      <c r="F7" s="5" t="s">
        <v>91</v>
      </c>
      <c r="G7" s="43">
        <v>5</v>
      </c>
      <c r="H7" s="5" t="s">
        <v>88</v>
      </c>
      <c r="I7" s="44">
        <v>582.5</v>
      </c>
      <c r="J7" s="5">
        <v>2</v>
      </c>
      <c r="K7" s="5" t="s">
        <v>179</v>
      </c>
      <c r="L7" s="5" t="s">
        <v>179</v>
      </c>
      <c r="M7" s="42">
        <v>43938</v>
      </c>
      <c r="N7" s="5" t="s">
        <v>179</v>
      </c>
      <c r="O7" s="5" t="s">
        <v>179</v>
      </c>
    </row>
    <row r="8" spans="1:15" outlineLevel="2" x14ac:dyDescent="0.3">
      <c r="A8" s="42">
        <v>43949</v>
      </c>
      <c r="B8" s="5" t="s">
        <v>178</v>
      </c>
      <c r="C8" s="5">
        <v>10111213</v>
      </c>
      <c r="D8" s="5">
        <v>50</v>
      </c>
      <c r="E8" s="5">
        <v>170848</v>
      </c>
      <c r="F8" s="5" t="s">
        <v>92</v>
      </c>
      <c r="G8" s="43">
        <v>20</v>
      </c>
      <c r="H8" s="5" t="s">
        <v>93</v>
      </c>
      <c r="I8" s="44">
        <v>7000</v>
      </c>
      <c r="J8" s="5">
        <v>2</v>
      </c>
      <c r="K8" s="5" t="s">
        <v>179</v>
      </c>
      <c r="L8" s="5" t="s">
        <v>179</v>
      </c>
      <c r="M8" s="42">
        <v>43938</v>
      </c>
      <c r="N8" s="5" t="s">
        <v>179</v>
      </c>
      <c r="O8" s="5" t="s">
        <v>179</v>
      </c>
    </row>
    <row r="9" spans="1:15" outlineLevel="2" x14ac:dyDescent="0.3">
      <c r="A9" s="42">
        <v>43949</v>
      </c>
      <c r="B9" s="5" t="s">
        <v>178</v>
      </c>
      <c r="C9" s="5">
        <v>10111213</v>
      </c>
      <c r="D9" s="5">
        <v>60</v>
      </c>
      <c r="E9" s="5">
        <v>161323</v>
      </c>
      <c r="F9" s="5" t="s">
        <v>94</v>
      </c>
      <c r="G9" s="43">
        <v>20</v>
      </c>
      <c r="H9" s="5" t="s">
        <v>88</v>
      </c>
      <c r="I9" s="44">
        <v>1590</v>
      </c>
      <c r="J9" s="5">
        <v>2</v>
      </c>
      <c r="K9" s="5" t="s">
        <v>179</v>
      </c>
      <c r="L9" s="5" t="s">
        <v>179</v>
      </c>
      <c r="M9" s="42">
        <v>43938</v>
      </c>
      <c r="N9" s="5" t="s">
        <v>179</v>
      </c>
      <c r="O9" s="5" t="s">
        <v>179</v>
      </c>
    </row>
    <row r="10" spans="1:15" outlineLevel="2" x14ac:dyDescent="0.3">
      <c r="A10" s="42">
        <v>43949</v>
      </c>
      <c r="B10" s="5" t="s">
        <v>178</v>
      </c>
      <c r="C10" s="5">
        <v>10111213</v>
      </c>
      <c r="D10" s="5">
        <v>70</v>
      </c>
      <c r="E10" s="5">
        <v>161324</v>
      </c>
      <c r="F10" s="5" t="s">
        <v>94</v>
      </c>
      <c r="G10" s="43">
        <v>20</v>
      </c>
      <c r="H10" s="5" t="s">
        <v>88</v>
      </c>
      <c r="I10" s="44">
        <v>2277.4</v>
      </c>
      <c r="J10" s="5">
        <v>2</v>
      </c>
      <c r="K10" s="5" t="s">
        <v>179</v>
      </c>
      <c r="L10" s="5" t="s">
        <v>179</v>
      </c>
      <c r="M10" s="42">
        <v>43938</v>
      </c>
      <c r="N10" s="5" t="s">
        <v>179</v>
      </c>
      <c r="O10" s="5" t="s">
        <v>179</v>
      </c>
    </row>
    <row r="11" spans="1:15" outlineLevel="2" x14ac:dyDescent="0.3">
      <c r="A11" s="42">
        <v>43949</v>
      </c>
      <c r="B11" s="5" t="s">
        <v>178</v>
      </c>
      <c r="C11" s="5">
        <v>10111213</v>
      </c>
      <c r="D11" s="5">
        <v>80</v>
      </c>
      <c r="E11" s="5">
        <v>170847</v>
      </c>
      <c r="F11" s="5" t="s">
        <v>95</v>
      </c>
      <c r="G11" s="43">
        <v>25</v>
      </c>
      <c r="H11" s="5" t="s">
        <v>93</v>
      </c>
      <c r="I11" s="44">
        <v>188.75</v>
      </c>
      <c r="J11" s="5">
        <v>2</v>
      </c>
      <c r="K11" s="5" t="s">
        <v>179</v>
      </c>
      <c r="L11" s="5" t="s">
        <v>179</v>
      </c>
      <c r="M11" s="42">
        <v>43938</v>
      </c>
      <c r="N11" s="5" t="s">
        <v>179</v>
      </c>
      <c r="O11" s="5" t="s">
        <v>179</v>
      </c>
    </row>
    <row r="12" spans="1:15" outlineLevel="2" x14ac:dyDescent="0.3">
      <c r="A12" s="42">
        <v>43949</v>
      </c>
      <c r="B12" s="5" t="s">
        <v>178</v>
      </c>
      <c r="C12" s="5">
        <v>10111213</v>
      </c>
      <c r="D12" s="5">
        <v>90</v>
      </c>
      <c r="E12" s="5">
        <v>170846</v>
      </c>
      <c r="F12" s="5" t="s">
        <v>96</v>
      </c>
      <c r="G12" s="43">
        <v>20</v>
      </c>
      <c r="H12" s="5" t="s">
        <v>93</v>
      </c>
      <c r="I12" s="44">
        <v>570</v>
      </c>
      <c r="J12" s="5">
        <v>2</v>
      </c>
      <c r="K12" s="5" t="s">
        <v>179</v>
      </c>
      <c r="L12" s="5" t="s">
        <v>179</v>
      </c>
      <c r="M12" s="42">
        <v>43938</v>
      </c>
      <c r="N12" s="5" t="s">
        <v>179</v>
      </c>
      <c r="O12" s="5" t="s">
        <v>179</v>
      </c>
    </row>
    <row r="13" spans="1:15" outlineLevel="2" x14ac:dyDescent="0.3">
      <c r="A13" s="42">
        <v>43949</v>
      </c>
      <c r="B13" s="5" t="s">
        <v>178</v>
      </c>
      <c r="C13" s="5">
        <v>10111213</v>
      </c>
      <c r="D13" s="5">
        <v>100</v>
      </c>
      <c r="E13" s="5">
        <v>302094</v>
      </c>
      <c r="F13" s="5" t="s">
        <v>97</v>
      </c>
      <c r="G13" s="43">
        <v>100</v>
      </c>
      <c r="H13" s="5" t="s">
        <v>88</v>
      </c>
      <c r="I13" s="44">
        <v>400</v>
      </c>
      <c r="J13" s="5">
        <v>2</v>
      </c>
      <c r="K13" s="5" t="s">
        <v>179</v>
      </c>
      <c r="L13" s="5" t="s">
        <v>179</v>
      </c>
      <c r="M13" s="42">
        <v>43938</v>
      </c>
      <c r="N13" s="5" t="s">
        <v>179</v>
      </c>
      <c r="O13" s="5" t="s">
        <v>179</v>
      </c>
    </row>
    <row r="14" spans="1:15" outlineLevel="2" x14ac:dyDescent="0.3">
      <c r="A14" s="42">
        <v>43949</v>
      </c>
      <c r="B14" s="5" t="s">
        <v>178</v>
      </c>
      <c r="C14" s="5">
        <v>10111213</v>
      </c>
      <c r="D14" s="5">
        <v>110</v>
      </c>
      <c r="E14" s="5">
        <v>170924</v>
      </c>
      <c r="F14" s="5" t="s">
        <v>98</v>
      </c>
      <c r="G14" s="43">
        <v>20</v>
      </c>
      <c r="H14" s="5" t="s">
        <v>88</v>
      </c>
      <c r="I14" s="44">
        <v>213.8</v>
      </c>
      <c r="J14" s="5">
        <v>2</v>
      </c>
      <c r="K14" s="5" t="s">
        <v>179</v>
      </c>
      <c r="L14" s="5" t="s">
        <v>179</v>
      </c>
      <c r="M14" s="42">
        <v>43938</v>
      </c>
      <c r="N14" s="5" t="s">
        <v>179</v>
      </c>
      <c r="O14" s="5" t="s">
        <v>179</v>
      </c>
    </row>
    <row r="15" spans="1:15" outlineLevel="2" x14ac:dyDescent="0.3">
      <c r="A15" s="42">
        <v>43949</v>
      </c>
      <c r="B15" s="5" t="s">
        <v>178</v>
      </c>
      <c r="C15" s="5">
        <v>10111213</v>
      </c>
      <c r="D15" s="5">
        <v>120</v>
      </c>
      <c r="E15" s="5">
        <v>220878</v>
      </c>
      <c r="F15" s="5" t="s">
        <v>99</v>
      </c>
      <c r="G15" s="43">
        <v>10</v>
      </c>
      <c r="H15" s="5" t="s">
        <v>88</v>
      </c>
      <c r="I15" s="44">
        <v>70</v>
      </c>
      <c r="J15" s="5">
        <v>2</v>
      </c>
      <c r="K15" s="5" t="s">
        <v>179</v>
      </c>
      <c r="L15" s="5" t="s">
        <v>179</v>
      </c>
      <c r="M15" s="42">
        <v>43938</v>
      </c>
      <c r="N15" s="5" t="s">
        <v>179</v>
      </c>
      <c r="O15" s="5" t="s">
        <v>179</v>
      </c>
    </row>
    <row r="16" spans="1:15" outlineLevel="2" x14ac:dyDescent="0.3">
      <c r="A16" s="42">
        <v>43949</v>
      </c>
      <c r="B16" s="5" t="s">
        <v>178</v>
      </c>
      <c r="C16" s="5">
        <v>10111213</v>
      </c>
      <c r="D16" s="5">
        <v>130</v>
      </c>
      <c r="E16" s="5">
        <v>221022</v>
      </c>
      <c r="F16" s="5" t="s">
        <v>100</v>
      </c>
      <c r="G16" s="43">
        <v>10</v>
      </c>
      <c r="H16" s="5" t="s">
        <v>88</v>
      </c>
      <c r="I16" s="44">
        <v>60</v>
      </c>
      <c r="J16" s="5">
        <v>2</v>
      </c>
      <c r="K16" s="5" t="s">
        <v>179</v>
      </c>
      <c r="L16" s="5" t="s">
        <v>179</v>
      </c>
      <c r="M16" s="42">
        <v>43938</v>
      </c>
      <c r="N16" s="5" t="s">
        <v>179</v>
      </c>
      <c r="O16" s="5" t="s">
        <v>179</v>
      </c>
    </row>
    <row r="17" spans="1:15" outlineLevel="2" x14ac:dyDescent="0.3">
      <c r="A17" s="42">
        <v>43949</v>
      </c>
      <c r="B17" s="5" t="s">
        <v>178</v>
      </c>
      <c r="C17" s="5">
        <v>10111213</v>
      </c>
      <c r="D17" s="5">
        <v>140</v>
      </c>
      <c r="E17" s="5">
        <v>276711</v>
      </c>
      <c r="F17" s="5" t="s">
        <v>101</v>
      </c>
      <c r="G17" s="43">
        <v>2</v>
      </c>
      <c r="H17" s="5" t="s">
        <v>88</v>
      </c>
      <c r="I17" s="44">
        <v>1600</v>
      </c>
      <c r="J17" s="5">
        <v>2</v>
      </c>
      <c r="K17" s="5" t="s">
        <v>179</v>
      </c>
      <c r="L17" s="5" t="s">
        <v>179</v>
      </c>
      <c r="M17" s="42">
        <v>43938</v>
      </c>
      <c r="N17" s="5" t="s">
        <v>179</v>
      </c>
      <c r="O17" s="5" t="s">
        <v>179</v>
      </c>
    </row>
    <row r="18" spans="1:15" outlineLevel="2" x14ac:dyDescent="0.3">
      <c r="A18" s="42">
        <v>43949</v>
      </c>
      <c r="B18" s="5" t="s">
        <v>178</v>
      </c>
      <c r="C18" s="5">
        <v>10111213</v>
      </c>
      <c r="D18" s="5">
        <v>150</v>
      </c>
      <c r="E18" s="5">
        <v>175772</v>
      </c>
      <c r="F18" s="5" t="s">
        <v>102</v>
      </c>
      <c r="G18" s="43">
        <v>5</v>
      </c>
      <c r="H18" s="5" t="s">
        <v>88</v>
      </c>
      <c r="I18" s="44">
        <v>550</v>
      </c>
      <c r="J18" s="5">
        <v>2</v>
      </c>
      <c r="K18" s="5" t="s">
        <v>179</v>
      </c>
      <c r="L18" s="5" t="s">
        <v>179</v>
      </c>
      <c r="M18" s="42">
        <v>43938</v>
      </c>
      <c r="N18" s="5" t="s">
        <v>179</v>
      </c>
      <c r="O18" s="5" t="s">
        <v>179</v>
      </c>
    </row>
    <row r="19" spans="1:15" outlineLevel="1" x14ac:dyDescent="0.3">
      <c r="A19" s="46"/>
      <c r="B19" s="47"/>
      <c r="C19" s="47">
        <v>10111214</v>
      </c>
      <c r="D19" s="47"/>
      <c r="E19" s="47"/>
      <c r="F19" s="47"/>
      <c r="G19" s="48"/>
      <c r="H19" s="47"/>
      <c r="I19" s="49">
        <v>947</v>
      </c>
      <c r="J19" s="47"/>
      <c r="K19" s="47"/>
      <c r="L19" s="47"/>
      <c r="M19" s="46"/>
      <c r="N19" s="47"/>
      <c r="O19" s="47"/>
    </row>
    <row r="20" spans="1:15" outlineLevel="2" x14ac:dyDescent="0.3">
      <c r="A20" s="42">
        <v>43950</v>
      </c>
      <c r="B20" s="5" t="s">
        <v>178</v>
      </c>
      <c r="C20" s="5">
        <v>10111214</v>
      </c>
      <c r="D20" s="5">
        <v>10</v>
      </c>
      <c r="E20" s="5">
        <v>528697</v>
      </c>
      <c r="F20" s="5" t="s">
        <v>103</v>
      </c>
      <c r="G20" s="43">
        <v>1</v>
      </c>
      <c r="H20" s="5" t="s">
        <v>88</v>
      </c>
      <c r="I20" s="44">
        <v>947</v>
      </c>
      <c r="J20" s="5">
        <v>2</v>
      </c>
      <c r="K20" s="5" t="s">
        <v>180</v>
      </c>
      <c r="L20" s="5" t="s">
        <v>180</v>
      </c>
      <c r="M20" s="42">
        <v>43942</v>
      </c>
      <c r="N20" s="5" t="s">
        <v>180</v>
      </c>
      <c r="O20" s="5" t="s">
        <v>180</v>
      </c>
    </row>
    <row r="21" spans="1:15" outlineLevel="1" x14ac:dyDescent="0.3">
      <c r="A21" s="46"/>
      <c r="B21" s="47"/>
      <c r="C21" s="47">
        <v>10111215</v>
      </c>
      <c r="D21" s="47"/>
      <c r="E21" s="47"/>
      <c r="F21" s="47"/>
      <c r="G21" s="48"/>
      <c r="H21" s="47"/>
      <c r="I21" s="49">
        <v>5.85</v>
      </c>
      <c r="J21" s="47"/>
      <c r="K21" s="47"/>
      <c r="L21" s="47"/>
      <c r="M21" s="46"/>
      <c r="N21" s="47"/>
      <c r="O21" s="47"/>
    </row>
    <row r="22" spans="1:15" outlineLevel="2" x14ac:dyDescent="0.3">
      <c r="A22" s="42">
        <v>43957</v>
      </c>
      <c r="B22" s="5" t="s">
        <v>178</v>
      </c>
      <c r="C22" s="5">
        <v>10111215</v>
      </c>
      <c r="D22" s="5">
        <v>20</v>
      </c>
      <c r="E22" s="5">
        <v>466078</v>
      </c>
      <c r="F22" s="5" t="s">
        <v>104</v>
      </c>
      <c r="G22" s="43">
        <v>1</v>
      </c>
      <c r="H22" s="5" t="s">
        <v>88</v>
      </c>
      <c r="I22" s="44">
        <v>5.85</v>
      </c>
      <c r="J22" s="5">
        <v>2</v>
      </c>
      <c r="K22" s="5" t="s">
        <v>181</v>
      </c>
      <c r="L22" s="5" t="s">
        <v>181</v>
      </c>
      <c r="M22" s="42">
        <v>43935</v>
      </c>
      <c r="N22" s="5" t="s">
        <v>181</v>
      </c>
      <c r="O22" s="5" t="s">
        <v>181</v>
      </c>
    </row>
    <row r="23" spans="1:15" outlineLevel="1" x14ac:dyDescent="0.3">
      <c r="A23" s="46"/>
      <c r="B23" s="47"/>
      <c r="C23" s="47">
        <v>10111216</v>
      </c>
      <c r="D23" s="47"/>
      <c r="E23" s="47"/>
      <c r="F23" s="47"/>
      <c r="G23" s="48"/>
      <c r="H23" s="47"/>
      <c r="I23" s="49">
        <v>16025.76</v>
      </c>
      <c r="J23" s="47"/>
      <c r="K23" s="47"/>
      <c r="L23" s="47"/>
      <c r="M23" s="46"/>
      <c r="N23" s="47"/>
      <c r="O23" s="47"/>
    </row>
    <row r="24" spans="1:15" outlineLevel="2" x14ac:dyDescent="0.3">
      <c r="A24" s="42">
        <v>43957</v>
      </c>
      <c r="B24" s="5" t="s">
        <v>178</v>
      </c>
      <c r="C24" s="5">
        <v>10111216</v>
      </c>
      <c r="D24" s="5">
        <v>10</v>
      </c>
      <c r="E24" s="5">
        <v>391600</v>
      </c>
      <c r="F24" s="5" t="s">
        <v>105</v>
      </c>
      <c r="G24" s="43">
        <v>1</v>
      </c>
      <c r="H24" s="5" t="s">
        <v>88</v>
      </c>
      <c r="I24" s="44">
        <v>4616.13</v>
      </c>
      <c r="J24" s="5">
        <v>2</v>
      </c>
      <c r="K24" s="5" t="s">
        <v>181</v>
      </c>
      <c r="L24" s="5" t="s">
        <v>181</v>
      </c>
      <c r="M24" s="42">
        <v>43938</v>
      </c>
      <c r="N24" s="5" t="s">
        <v>181</v>
      </c>
      <c r="O24" s="5" t="s">
        <v>181</v>
      </c>
    </row>
    <row r="25" spans="1:15" outlineLevel="2" x14ac:dyDescent="0.3">
      <c r="A25" s="42">
        <v>43957</v>
      </c>
      <c r="B25" s="5" t="s">
        <v>178</v>
      </c>
      <c r="C25" s="5">
        <v>10111216</v>
      </c>
      <c r="D25" s="5">
        <v>20</v>
      </c>
      <c r="E25" s="5">
        <v>391601</v>
      </c>
      <c r="F25" s="5" t="s">
        <v>106</v>
      </c>
      <c r="G25" s="43">
        <v>1</v>
      </c>
      <c r="H25" s="5" t="s">
        <v>88</v>
      </c>
      <c r="I25" s="44">
        <v>2348</v>
      </c>
      <c r="J25" s="5">
        <v>2</v>
      </c>
      <c r="K25" s="5" t="s">
        <v>181</v>
      </c>
      <c r="L25" s="5" t="s">
        <v>181</v>
      </c>
      <c r="M25" s="42">
        <v>43938</v>
      </c>
      <c r="N25" s="5" t="s">
        <v>181</v>
      </c>
      <c r="O25" s="5" t="s">
        <v>181</v>
      </c>
    </row>
    <row r="26" spans="1:15" outlineLevel="2" x14ac:dyDescent="0.3">
      <c r="A26" s="42">
        <v>43957</v>
      </c>
      <c r="B26" s="5" t="s">
        <v>178</v>
      </c>
      <c r="C26" s="5">
        <v>10111216</v>
      </c>
      <c r="D26" s="5">
        <v>30</v>
      </c>
      <c r="E26" s="5">
        <v>391599</v>
      </c>
      <c r="F26" s="5" t="s">
        <v>107</v>
      </c>
      <c r="G26" s="43">
        <v>1</v>
      </c>
      <c r="H26" s="5" t="s">
        <v>88</v>
      </c>
      <c r="I26" s="44">
        <v>9061.6299999999992</v>
      </c>
      <c r="J26" s="5">
        <v>2</v>
      </c>
      <c r="K26" s="5" t="s">
        <v>181</v>
      </c>
      <c r="L26" s="5" t="s">
        <v>181</v>
      </c>
      <c r="M26" s="42">
        <v>43938</v>
      </c>
      <c r="N26" s="5" t="s">
        <v>181</v>
      </c>
      <c r="O26" s="5" t="s">
        <v>181</v>
      </c>
    </row>
    <row r="27" spans="1:15" outlineLevel="1" x14ac:dyDescent="0.3">
      <c r="A27" s="46"/>
      <c r="B27" s="47"/>
      <c r="C27" s="47">
        <v>10111217</v>
      </c>
      <c r="D27" s="47"/>
      <c r="E27" s="47"/>
      <c r="F27" s="47"/>
      <c r="G27" s="48"/>
      <c r="H27" s="47"/>
      <c r="I27" s="49">
        <v>5005</v>
      </c>
      <c r="J27" s="47"/>
      <c r="K27" s="47"/>
      <c r="L27" s="47"/>
      <c r="M27" s="46"/>
      <c r="N27" s="47"/>
      <c r="O27" s="47"/>
    </row>
    <row r="28" spans="1:15" outlineLevel="2" x14ac:dyDescent="0.3">
      <c r="A28" s="42">
        <v>43957</v>
      </c>
      <c r="B28" s="5" t="s">
        <v>178</v>
      </c>
      <c r="C28" s="5">
        <v>10111217</v>
      </c>
      <c r="D28" s="5">
        <v>10</v>
      </c>
      <c r="E28" s="5">
        <v>93629</v>
      </c>
      <c r="F28" s="5" t="s">
        <v>108</v>
      </c>
      <c r="G28" s="43">
        <v>1</v>
      </c>
      <c r="H28" s="5" t="s">
        <v>88</v>
      </c>
      <c r="I28" s="44">
        <v>5005</v>
      </c>
      <c r="J28" s="5">
        <v>2</v>
      </c>
      <c r="K28" s="5" t="s">
        <v>181</v>
      </c>
      <c r="L28" s="5" t="s">
        <v>181</v>
      </c>
      <c r="M28" s="42">
        <v>43938</v>
      </c>
      <c r="N28" s="5" t="s">
        <v>181</v>
      </c>
      <c r="O28" s="5" t="s">
        <v>181</v>
      </c>
    </row>
    <row r="29" spans="1:15" outlineLevel="1" x14ac:dyDescent="0.3">
      <c r="A29" s="46"/>
      <c r="B29" s="47"/>
      <c r="C29" s="47">
        <v>10111218</v>
      </c>
      <c r="D29" s="47"/>
      <c r="E29" s="47"/>
      <c r="F29" s="47"/>
      <c r="G29" s="48"/>
      <c r="H29" s="47"/>
      <c r="I29" s="49">
        <v>213.2</v>
      </c>
      <c r="J29" s="47"/>
      <c r="K29" s="47"/>
      <c r="L29" s="47"/>
      <c r="M29" s="46"/>
      <c r="N29" s="47"/>
      <c r="O29" s="47"/>
    </row>
    <row r="30" spans="1:15" outlineLevel="2" x14ac:dyDescent="0.3">
      <c r="A30" s="42">
        <v>43957</v>
      </c>
      <c r="B30" s="5" t="s">
        <v>178</v>
      </c>
      <c r="C30" s="5">
        <v>10111218</v>
      </c>
      <c r="D30" s="5">
        <v>630</v>
      </c>
      <c r="E30" s="5">
        <v>492835</v>
      </c>
      <c r="F30" s="5" t="s">
        <v>109</v>
      </c>
      <c r="G30" s="43">
        <v>1</v>
      </c>
      <c r="H30" s="5" t="s">
        <v>88</v>
      </c>
      <c r="I30" s="44">
        <v>213.2</v>
      </c>
      <c r="J30" s="5">
        <v>2</v>
      </c>
      <c r="K30" s="5" t="s">
        <v>181</v>
      </c>
      <c r="L30" s="5" t="s">
        <v>181</v>
      </c>
      <c r="M30" s="42">
        <v>43950</v>
      </c>
      <c r="N30" s="5" t="s">
        <v>181</v>
      </c>
      <c r="O30" s="5" t="s">
        <v>181</v>
      </c>
    </row>
    <row r="31" spans="1:15" outlineLevel="1" x14ac:dyDescent="0.3">
      <c r="A31" s="46"/>
      <c r="B31" s="47"/>
      <c r="C31" s="47">
        <v>10111219</v>
      </c>
      <c r="D31" s="47"/>
      <c r="E31" s="47"/>
      <c r="F31" s="47"/>
      <c r="G31" s="48"/>
      <c r="H31" s="47"/>
      <c r="I31" s="49">
        <v>49990</v>
      </c>
      <c r="J31" s="47"/>
      <c r="K31" s="47"/>
      <c r="L31" s="47"/>
      <c r="M31" s="46"/>
      <c r="N31" s="47"/>
      <c r="O31" s="47"/>
    </row>
    <row r="32" spans="1:15" outlineLevel="2" x14ac:dyDescent="0.3">
      <c r="A32" s="42">
        <v>43965</v>
      </c>
      <c r="B32" s="5" t="s">
        <v>178</v>
      </c>
      <c r="C32" s="5">
        <v>10111219</v>
      </c>
      <c r="D32" s="5">
        <v>10</v>
      </c>
      <c r="E32" s="5">
        <v>363865</v>
      </c>
      <c r="F32" s="5" t="s">
        <v>110</v>
      </c>
      <c r="G32" s="43">
        <v>1</v>
      </c>
      <c r="H32" s="5" t="s">
        <v>88</v>
      </c>
      <c r="I32" s="44">
        <v>49990</v>
      </c>
      <c r="J32" s="5">
        <v>2</v>
      </c>
      <c r="K32" s="5" t="s">
        <v>179</v>
      </c>
      <c r="L32" s="5" t="s">
        <v>179</v>
      </c>
      <c r="M32" s="42">
        <v>43959</v>
      </c>
      <c r="N32" s="5" t="s">
        <v>179</v>
      </c>
      <c r="O32" s="5" t="s">
        <v>179</v>
      </c>
    </row>
    <row r="33" spans="1:15" outlineLevel="1" x14ac:dyDescent="0.3">
      <c r="A33" s="46"/>
      <c r="B33" s="47"/>
      <c r="C33" s="47">
        <v>10111220</v>
      </c>
      <c r="D33" s="47"/>
      <c r="E33" s="47"/>
      <c r="F33" s="47"/>
      <c r="G33" s="48"/>
      <c r="H33" s="47"/>
      <c r="I33" s="49">
        <v>412.42</v>
      </c>
      <c r="J33" s="47"/>
      <c r="K33" s="47"/>
      <c r="L33" s="47"/>
      <c r="M33" s="46"/>
      <c r="N33" s="47"/>
      <c r="O33" s="47"/>
    </row>
    <row r="34" spans="1:15" outlineLevel="2" x14ac:dyDescent="0.3">
      <c r="A34" s="42">
        <v>43966</v>
      </c>
      <c r="B34" s="5" t="s">
        <v>178</v>
      </c>
      <c r="C34" s="5">
        <v>10111220</v>
      </c>
      <c r="D34" s="5">
        <v>40</v>
      </c>
      <c r="E34" s="5">
        <v>291697</v>
      </c>
      <c r="F34" s="5" t="s">
        <v>111</v>
      </c>
      <c r="G34" s="43">
        <v>2</v>
      </c>
      <c r="H34" s="5" t="s">
        <v>88</v>
      </c>
      <c r="I34" s="44">
        <v>143</v>
      </c>
      <c r="J34" s="5">
        <v>2</v>
      </c>
      <c r="K34" s="5" t="s">
        <v>181</v>
      </c>
      <c r="L34" s="5" t="s">
        <v>181</v>
      </c>
      <c r="M34" s="42">
        <v>43899</v>
      </c>
      <c r="N34" s="5" t="s">
        <v>181</v>
      </c>
      <c r="O34" s="5" t="s">
        <v>181</v>
      </c>
    </row>
    <row r="35" spans="1:15" outlineLevel="2" x14ac:dyDescent="0.3">
      <c r="A35" s="42">
        <v>43966</v>
      </c>
      <c r="B35" s="5" t="s">
        <v>178</v>
      </c>
      <c r="C35" s="5">
        <v>10111220</v>
      </c>
      <c r="D35" s="5">
        <v>60</v>
      </c>
      <c r="E35" s="5">
        <v>243807</v>
      </c>
      <c r="F35" s="5" t="s">
        <v>112</v>
      </c>
      <c r="G35" s="43">
        <v>2</v>
      </c>
      <c r="H35" s="5" t="s">
        <v>88</v>
      </c>
      <c r="I35" s="44">
        <v>182</v>
      </c>
      <c r="J35" s="5">
        <v>2</v>
      </c>
      <c r="K35" s="5" t="s">
        <v>181</v>
      </c>
      <c r="L35" s="5" t="s">
        <v>181</v>
      </c>
      <c r="M35" s="42">
        <v>43899</v>
      </c>
      <c r="N35" s="5" t="s">
        <v>181</v>
      </c>
      <c r="O35" s="5" t="s">
        <v>181</v>
      </c>
    </row>
    <row r="36" spans="1:15" outlineLevel="2" x14ac:dyDescent="0.3">
      <c r="A36" s="42">
        <v>43966</v>
      </c>
      <c r="B36" s="5" t="s">
        <v>178</v>
      </c>
      <c r="C36" s="5">
        <v>10111220</v>
      </c>
      <c r="D36" s="5">
        <v>80</v>
      </c>
      <c r="E36" s="5">
        <v>262383</v>
      </c>
      <c r="F36" s="5" t="s">
        <v>113</v>
      </c>
      <c r="G36" s="43">
        <v>2</v>
      </c>
      <c r="H36" s="5" t="s">
        <v>88</v>
      </c>
      <c r="I36" s="44">
        <v>87.42</v>
      </c>
      <c r="J36" s="5">
        <v>2</v>
      </c>
      <c r="K36" s="5" t="s">
        <v>181</v>
      </c>
      <c r="L36" s="5" t="s">
        <v>181</v>
      </c>
      <c r="M36" s="42">
        <v>43899</v>
      </c>
      <c r="N36" s="5" t="s">
        <v>181</v>
      </c>
      <c r="O36" s="5" t="s">
        <v>181</v>
      </c>
    </row>
    <row r="37" spans="1:15" outlineLevel="1" x14ac:dyDescent="0.3">
      <c r="A37" s="46"/>
      <c r="B37" s="47"/>
      <c r="C37" s="47">
        <v>10111221</v>
      </c>
      <c r="D37" s="47"/>
      <c r="E37" s="47"/>
      <c r="F37" s="47"/>
      <c r="G37" s="48"/>
      <c r="H37" s="47"/>
      <c r="I37" s="49">
        <v>1400</v>
      </c>
      <c r="J37" s="47"/>
      <c r="K37" s="47"/>
      <c r="L37" s="47"/>
      <c r="M37" s="46"/>
      <c r="N37" s="47"/>
      <c r="O37" s="47"/>
    </row>
    <row r="38" spans="1:15" outlineLevel="2" x14ac:dyDescent="0.3">
      <c r="A38" s="42">
        <v>43970</v>
      </c>
      <c r="B38" s="5" t="s">
        <v>178</v>
      </c>
      <c r="C38" s="5">
        <v>10111221</v>
      </c>
      <c r="D38" s="5">
        <v>10</v>
      </c>
      <c r="E38" s="5">
        <v>521456</v>
      </c>
      <c r="F38" s="5" t="s">
        <v>114</v>
      </c>
      <c r="G38" s="43">
        <v>1</v>
      </c>
      <c r="H38" s="5" t="s">
        <v>88</v>
      </c>
      <c r="I38" s="44">
        <v>1400</v>
      </c>
      <c r="J38" s="5">
        <v>2</v>
      </c>
      <c r="K38" s="5" t="s">
        <v>182</v>
      </c>
      <c r="L38" s="5" t="s">
        <v>182</v>
      </c>
      <c r="M38" s="42">
        <v>43963</v>
      </c>
      <c r="N38" s="5" t="s">
        <v>182</v>
      </c>
      <c r="O38" s="5" t="s">
        <v>182</v>
      </c>
    </row>
    <row r="39" spans="1:15" outlineLevel="1" x14ac:dyDescent="0.3">
      <c r="A39" s="46"/>
      <c r="B39" s="47"/>
      <c r="C39" s="47">
        <v>10672021</v>
      </c>
      <c r="D39" s="47"/>
      <c r="E39" s="47"/>
      <c r="F39" s="47"/>
      <c r="G39" s="48"/>
      <c r="H39" s="47"/>
      <c r="I39" s="49">
        <v>9495.11</v>
      </c>
      <c r="J39" s="47"/>
      <c r="K39" s="47"/>
      <c r="L39" s="47"/>
      <c r="M39" s="46"/>
      <c r="N39" s="47"/>
      <c r="O39" s="47"/>
    </row>
    <row r="40" spans="1:15" outlineLevel="2" x14ac:dyDescent="0.3">
      <c r="A40" s="42">
        <v>43971</v>
      </c>
      <c r="B40" s="5" t="s">
        <v>178</v>
      </c>
      <c r="C40" s="5">
        <v>10672021</v>
      </c>
      <c r="D40" s="5">
        <v>10</v>
      </c>
      <c r="E40" s="5">
        <v>514643</v>
      </c>
      <c r="F40" s="5" t="s">
        <v>115</v>
      </c>
      <c r="G40" s="43">
        <v>1</v>
      </c>
      <c r="H40" s="5" t="s">
        <v>88</v>
      </c>
      <c r="I40" s="44">
        <v>9495.11</v>
      </c>
      <c r="J40" s="5">
        <v>2</v>
      </c>
      <c r="K40" s="5" t="s">
        <v>182</v>
      </c>
      <c r="L40" s="5" t="s">
        <v>182</v>
      </c>
      <c r="M40" s="42">
        <v>43959</v>
      </c>
      <c r="N40" s="5" t="s">
        <v>182</v>
      </c>
      <c r="O40" s="5" t="s">
        <v>182</v>
      </c>
    </row>
    <row r="41" spans="1:15" outlineLevel="1" x14ac:dyDescent="0.3">
      <c r="A41" s="46"/>
      <c r="B41" s="47"/>
      <c r="C41" s="47">
        <v>10111222</v>
      </c>
      <c r="D41" s="47"/>
      <c r="E41" s="47"/>
      <c r="F41" s="47"/>
      <c r="G41" s="48"/>
      <c r="H41" s="47"/>
      <c r="I41" s="49">
        <v>6800</v>
      </c>
      <c r="J41" s="47"/>
      <c r="K41" s="47"/>
      <c r="L41" s="47"/>
      <c r="M41" s="46"/>
      <c r="N41" s="47"/>
      <c r="O41" s="47"/>
    </row>
    <row r="42" spans="1:15" outlineLevel="2" x14ac:dyDescent="0.3">
      <c r="A42" s="42">
        <v>43973</v>
      </c>
      <c r="B42" s="5" t="s">
        <v>178</v>
      </c>
      <c r="C42" s="5">
        <v>10111222</v>
      </c>
      <c r="D42" s="5">
        <v>10</v>
      </c>
      <c r="E42" s="5">
        <v>473868</v>
      </c>
      <c r="F42" s="5" t="s">
        <v>116</v>
      </c>
      <c r="G42" s="43">
        <v>4</v>
      </c>
      <c r="H42" s="5" t="s">
        <v>88</v>
      </c>
      <c r="I42" s="44">
        <v>6800</v>
      </c>
      <c r="J42" s="5">
        <v>2</v>
      </c>
      <c r="K42" s="5" t="s">
        <v>182</v>
      </c>
      <c r="L42" s="5" t="s">
        <v>182</v>
      </c>
      <c r="M42" s="42">
        <v>43934</v>
      </c>
      <c r="N42" s="5" t="s">
        <v>182</v>
      </c>
      <c r="O42" s="5" t="s">
        <v>182</v>
      </c>
    </row>
    <row r="43" spans="1:15" outlineLevel="1" x14ac:dyDescent="0.3">
      <c r="A43" s="46"/>
      <c r="B43" s="47"/>
      <c r="C43" s="47">
        <v>10111223</v>
      </c>
      <c r="D43" s="47"/>
      <c r="E43" s="47"/>
      <c r="F43" s="47"/>
      <c r="G43" s="48"/>
      <c r="H43" s="47"/>
      <c r="I43" s="49">
        <v>45000</v>
      </c>
      <c r="J43" s="47"/>
      <c r="K43" s="47"/>
      <c r="L43" s="47"/>
      <c r="M43" s="46"/>
      <c r="N43" s="47"/>
      <c r="O43" s="47"/>
    </row>
    <row r="44" spans="1:15" outlineLevel="2" x14ac:dyDescent="0.3">
      <c r="A44" s="42">
        <v>43974</v>
      </c>
      <c r="B44" s="5" t="s">
        <v>178</v>
      </c>
      <c r="C44" s="5">
        <v>10111223</v>
      </c>
      <c r="D44" s="5">
        <v>10</v>
      </c>
      <c r="E44" s="5">
        <v>515641</v>
      </c>
      <c r="F44" s="5" t="s">
        <v>117</v>
      </c>
      <c r="G44" s="43">
        <v>1</v>
      </c>
      <c r="H44" s="5" t="s">
        <v>88</v>
      </c>
      <c r="I44" s="44">
        <v>45000</v>
      </c>
      <c r="J44" s="5">
        <v>2</v>
      </c>
      <c r="K44" s="5" t="s">
        <v>183</v>
      </c>
      <c r="L44" s="5" t="s">
        <v>183</v>
      </c>
      <c r="M44" s="42">
        <v>43945</v>
      </c>
      <c r="N44" s="5" t="s">
        <v>183</v>
      </c>
      <c r="O44" s="5" t="s">
        <v>183</v>
      </c>
    </row>
    <row r="45" spans="1:15" outlineLevel="1" x14ac:dyDescent="0.3">
      <c r="A45" s="46"/>
      <c r="B45" s="47"/>
      <c r="C45" s="47">
        <v>10111224</v>
      </c>
      <c r="D45" s="47"/>
      <c r="E45" s="47"/>
      <c r="F45" s="47"/>
      <c r="G45" s="48"/>
      <c r="H45" s="47"/>
      <c r="I45" s="49">
        <v>3702.69</v>
      </c>
      <c r="J45" s="47"/>
      <c r="K45" s="47"/>
      <c r="L45" s="47"/>
      <c r="M45" s="46"/>
      <c r="N45" s="47"/>
      <c r="O45" s="47"/>
    </row>
    <row r="46" spans="1:15" outlineLevel="2" x14ac:dyDescent="0.3">
      <c r="A46" s="42">
        <v>43994</v>
      </c>
      <c r="B46" s="5" t="s">
        <v>178</v>
      </c>
      <c r="C46" s="5">
        <v>10111224</v>
      </c>
      <c r="D46" s="5">
        <v>120</v>
      </c>
      <c r="E46" s="5">
        <v>517587</v>
      </c>
      <c r="F46" s="5" t="s">
        <v>118</v>
      </c>
      <c r="G46" s="43">
        <v>1</v>
      </c>
      <c r="H46" s="5" t="s">
        <v>88</v>
      </c>
      <c r="I46" s="44">
        <v>1700</v>
      </c>
      <c r="J46" s="5">
        <v>2</v>
      </c>
      <c r="K46" s="5" t="s">
        <v>179</v>
      </c>
      <c r="L46" s="5" t="s">
        <v>179</v>
      </c>
      <c r="M46" s="42">
        <v>43319</v>
      </c>
      <c r="N46" s="5" t="s">
        <v>179</v>
      </c>
      <c r="O46" s="5" t="s">
        <v>179</v>
      </c>
    </row>
    <row r="47" spans="1:15" outlineLevel="2" x14ac:dyDescent="0.3">
      <c r="A47" s="42">
        <v>43994</v>
      </c>
      <c r="B47" s="5" t="s">
        <v>178</v>
      </c>
      <c r="C47" s="5">
        <v>10111224</v>
      </c>
      <c r="D47" s="5">
        <v>160</v>
      </c>
      <c r="E47" s="5">
        <v>518199</v>
      </c>
      <c r="F47" s="5" t="s">
        <v>119</v>
      </c>
      <c r="G47" s="43">
        <v>1</v>
      </c>
      <c r="H47" s="5" t="s">
        <v>88</v>
      </c>
      <c r="I47" s="44">
        <v>414</v>
      </c>
      <c r="J47" s="5">
        <v>2</v>
      </c>
      <c r="K47" s="5" t="s">
        <v>179</v>
      </c>
      <c r="L47" s="5" t="s">
        <v>179</v>
      </c>
      <c r="M47" s="42">
        <v>43319</v>
      </c>
      <c r="N47" s="5" t="s">
        <v>179</v>
      </c>
      <c r="O47" s="5" t="s">
        <v>179</v>
      </c>
    </row>
    <row r="48" spans="1:15" outlineLevel="2" x14ac:dyDescent="0.3">
      <c r="A48" s="42">
        <v>43994</v>
      </c>
      <c r="B48" s="5" t="s">
        <v>178</v>
      </c>
      <c r="C48" s="5">
        <v>10111224</v>
      </c>
      <c r="D48" s="5">
        <v>390</v>
      </c>
      <c r="E48" s="5">
        <v>301190</v>
      </c>
      <c r="F48" s="5" t="s">
        <v>120</v>
      </c>
      <c r="G48" s="43">
        <v>8</v>
      </c>
      <c r="H48" s="5" t="s">
        <v>88</v>
      </c>
      <c r="I48" s="44">
        <v>1409.44</v>
      </c>
      <c r="J48" s="5">
        <v>2</v>
      </c>
      <c r="K48" s="5" t="s">
        <v>179</v>
      </c>
      <c r="L48" s="5" t="s">
        <v>179</v>
      </c>
      <c r="M48" s="42">
        <v>43319</v>
      </c>
      <c r="N48" s="5" t="s">
        <v>179</v>
      </c>
      <c r="O48" s="5" t="s">
        <v>179</v>
      </c>
    </row>
    <row r="49" spans="1:15" outlineLevel="2" x14ac:dyDescent="0.3">
      <c r="A49" s="42">
        <v>43994</v>
      </c>
      <c r="B49" s="5" t="s">
        <v>178</v>
      </c>
      <c r="C49" s="5">
        <v>10111224</v>
      </c>
      <c r="D49" s="5">
        <v>400</v>
      </c>
      <c r="E49" s="5">
        <v>316171</v>
      </c>
      <c r="F49" s="5" t="s">
        <v>121</v>
      </c>
      <c r="G49" s="43">
        <v>1</v>
      </c>
      <c r="H49" s="5" t="s">
        <v>88</v>
      </c>
      <c r="I49" s="44">
        <v>179.25</v>
      </c>
      <c r="J49" s="5">
        <v>2</v>
      </c>
      <c r="K49" s="5" t="s">
        <v>179</v>
      </c>
      <c r="L49" s="5" t="s">
        <v>179</v>
      </c>
      <c r="M49" s="42">
        <v>43319</v>
      </c>
      <c r="N49" s="5" t="s">
        <v>179</v>
      </c>
      <c r="O49" s="5" t="s">
        <v>179</v>
      </c>
    </row>
    <row r="50" spans="1:15" outlineLevel="1" x14ac:dyDescent="0.3">
      <c r="A50" s="46"/>
      <c r="B50" s="47"/>
      <c r="C50" s="47">
        <v>10111225</v>
      </c>
      <c r="D50" s="47"/>
      <c r="E50" s="47"/>
      <c r="F50" s="47"/>
      <c r="G50" s="48"/>
      <c r="H50" s="47"/>
      <c r="I50" s="49">
        <v>4500</v>
      </c>
      <c r="J50" s="47"/>
      <c r="K50" s="47"/>
      <c r="L50" s="47"/>
      <c r="M50" s="46"/>
      <c r="N50" s="47"/>
      <c r="O50" s="47"/>
    </row>
    <row r="51" spans="1:15" outlineLevel="2" x14ac:dyDescent="0.3">
      <c r="A51" s="42">
        <v>43998</v>
      </c>
      <c r="B51" s="5" t="s">
        <v>178</v>
      </c>
      <c r="C51" s="5">
        <v>10111225</v>
      </c>
      <c r="D51" s="5">
        <v>1</v>
      </c>
      <c r="E51" s="5">
        <v>226031</v>
      </c>
      <c r="F51" s="5" t="s">
        <v>122</v>
      </c>
      <c r="G51" s="43">
        <v>3</v>
      </c>
      <c r="H51" s="5" t="s">
        <v>88</v>
      </c>
      <c r="I51" s="44">
        <v>4500</v>
      </c>
      <c r="J51" s="5">
        <v>2</v>
      </c>
      <c r="K51" s="5" t="s">
        <v>184</v>
      </c>
      <c r="L51" s="5" t="s">
        <v>184</v>
      </c>
      <c r="M51" s="42">
        <v>43978</v>
      </c>
      <c r="N51" s="5" t="s">
        <v>184</v>
      </c>
      <c r="O51" s="5" t="s">
        <v>184</v>
      </c>
    </row>
    <row r="52" spans="1:15" outlineLevel="1" x14ac:dyDescent="0.3">
      <c r="A52" s="46"/>
      <c r="B52" s="47"/>
      <c r="C52" s="47">
        <v>10111226</v>
      </c>
      <c r="D52" s="47"/>
      <c r="E52" s="47"/>
      <c r="F52" s="47"/>
      <c r="G52" s="48"/>
      <c r="H52" s="47"/>
      <c r="I52" s="49">
        <v>4657</v>
      </c>
      <c r="J52" s="47"/>
      <c r="K52" s="47"/>
      <c r="L52" s="47"/>
      <c r="M52" s="46"/>
      <c r="N52" s="47"/>
      <c r="O52" s="47"/>
    </row>
    <row r="53" spans="1:15" outlineLevel="2" x14ac:dyDescent="0.3">
      <c r="A53" s="42">
        <v>43999</v>
      </c>
      <c r="B53" s="5" t="s">
        <v>178</v>
      </c>
      <c r="C53" s="5">
        <v>10111226</v>
      </c>
      <c r="D53" s="5">
        <v>10</v>
      </c>
      <c r="E53" s="5">
        <v>480845</v>
      </c>
      <c r="F53" s="5" t="s">
        <v>123</v>
      </c>
      <c r="G53" s="43">
        <v>1</v>
      </c>
      <c r="H53" s="5" t="s">
        <v>88</v>
      </c>
      <c r="I53" s="44">
        <v>3815</v>
      </c>
      <c r="J53" s="5">
        <v>2</v>
      </c>
      <c r="K53" s="5" t="s">
        <v>184</v>
      </c>
      <c r="L53" s="5" t="s">
        <v>184</v>
      </c>
      <c r="M53" s="42">
        <v>43845</v>
      </c>
      <c r="N53" s="5" t="s">
        <v>184</v>
      </c>
      <c r="O53" s="5" t="s">
        <v>184</v>
      </c>
    </row>
    <row r="54" spans="1:15" outlineLevel="2" x14ac:dyDescent="0.3">
      <c r="A54" s="42">
        <v>43999</v>
      </c>
      <c r="B54" s="5" t="s">
        <v>178</v>
      </c>
      <c r="C54" s="5">
        <v>10111226</v>
      </c>
      <c r="D54" s="5">
        <v>20</v>
      </c>
      <c r="E54" s="5">
        <v>518294</v>
      </c>
      <c r="F54" s="5" t="s">
        <v>124</v>
      </c>
      <c r="G54" s="43">
        <v>1</v>
      </c>
      <c r="H54" s="5" t="s">
        <v>88</v>
      </c>
      <c r="I54" s="44">
        <v>842</v>
      </c>
      <c r="J54" s="5">
        <v>2</v>
      </c>
      <c r="K54" s="5" t="s">
        <v>184</v>
      </c>
      <c r="L54" s="5" t="s">
        <v>184</v>
      </c>
      <c r="M54" s="42">
        <v>43845</v>
      </c>
      <c r="N54" s="5" t="s">
        <v>184</v>
      </c>
      <c r="O54" s="5" t="s">
        <v>184</v>
      </c>
    </row>
    <row r="55" spans="1:15" outlineLevel="1" x14ac:dyDescent="0.3">
      <c r="A55" s="46"/>
      <c r="B55" s="47"/>
      <c r="C55" s="47">
        <v>10111227</v>
      </c>
      <c r="D55" s="47"/>
      <c r="E55" s="47"/>
      <c r="F55" s="47"/>
      <c r="G55" s="48"/>
      <c r="H55" s="47"/>
      <c r="I55" s="49">
        <v>4380</v>
      </c>
      <c r="J55" s="47"/>
      <c r="K55" s="47"/>
      <c r="L55" s="47"/>
      <c r="M55" s="46"/>
      <c r="N55" s="47"/>
      <c r="O55" s="47"/>
    </row>
    <row r="56" spans="1:15" outlineLevel="2" x14ac:dyDescent="0.3">
      <c r="A56" s="42">
        <v>44000</v>
      </c>
      <c r="B56" s="5" t="s">
        <v>178</v>
      </c>
      <c r="C56" s="5">
        <v>10111227</v>
      </c>
      <c r="D56" s="5">
        <v>10</v>
      </c>
      <c r="E56" s="5">
        <v>174906</v>
      </c>
      <c r="F56" s="5" t="s">
        <v>125</v>
      </c>
      <c r="G56" s="43">
        <v>10</v>
      </c>
      <c r="H56" s="5" t="s">
        <v>126</v>
      </c>
      <c r="I56" s="44">
        <v>600</v>
      </c>
      <c r="J56" s="5">
        <v>2</v>
      </c>
      <c r="K56" s="5" t="s">
        <v>181</v>
      </c>
      <c r="L56" s="5" t="s">
        <v>181</v>
      </c>
      <c r="M56" s="42">
        <v>43854</v>
      </c>
      <c r="N56" s="5" t="s">
        <v>181</v>
      </c>
      <c r="O56" s="5" t="s">
        <v>181</v>
      </c>
    </row>
    <row r="57" spans="1:15" outlineLevel="2" x14ac:dyDescent="0.3">
      <c r="A57" s="42">
        <v>44000</v>
      </c>
      <c r="B57" s="5" t="s">
        <v>178</v>
      </c>
      <c r="C57" s="5">
        <v>10111227</v>
      </c>
      <c r="D57" s="5">
        <v>20</v>
      </c>
      <c r="E57" s="5">
        <v>193524</v>
      </c>
      <c r="F57" s="5" t="s">
        <v>127</v>
      </c>
      <c r="G57" s="43">
        <v>10</v>
      </c>
      <c r="H57" s="5" t="s">
        <v>88</v>
      </c>
      <c r="I57" s="44">
        <v>600</v>
      </c>
      <c r="J57" s="5">
        <v>2</v>
      </c>
      <c r="K57" s="5" t="s">
        <v>181</v>
      </c>
      <c r="L57" s="5" t="s">
        <v>181</v>
      </c>
      <c r="M57" s="42">
        <v>43854</v>
      </c>
      <c r="N57" s="5" t="s">
        <v>181</v>
      </c>
      <c r="O57" s="5" t="s">
        <v>181</v>
      </c>
    </row>
    <row r="58" spans="1:15" outlineLevel="2" x14ac:dyDescent="0.3">
      <c r="A58" s="42">
        <v>44000</v>
      </c>
      <c r="B58" s="5" t="s">
        <v>178</v>
      </c>
      <c r="C58" s="5">
        <v>10111227</v>
      </c>
      <c r="D58" s="5">
        <v>30</v>
      </c>
      <c r="E58" s="5">
        <v>321850</v>
      </c>
      <c r="F58" s="5" t="s">
        <v>128</v>
      </c>
      <c r="G58" s="43">
        <v>10</v>
      </c>
      <c r="H58" s="5" t="s">
        <v>88</v>
      </c>
      <c r="I58" s="44">
        <v>600</v>
      </c>
      <c r="J58" s="5">
        <v>2</v>
      </c>
      <c r="K58" s="5" t="s">
        <v>181</v>
      </c>
      <c r="L58" s="5" t="s">
        <v>181</v>
      </c>
      <c r="M58" s="42">
        <v>43854</v>
      </c>
      <c r="N58" s="5" t="s">
        <v>181</v>
      </c>
      <c r="O58" s="5" t="s">
        <v>181</v>
      </c>
    </row>
    <row r="59" spans="1:15" outlineLevel="2" x14ac:dyDescent="0.3">
      <c r="A59" s="42">
        <v>44000</v>
      </c>
      <c r="B59" s="5" t="s">
        <v>178</v>
      </c>
      <c r="C59" s="5">
        <v>10111227</v>
      </c>
      <c r="D59" s="5">
        <v>40</v>
      </c>
      <c r="E59" s="5">
        <v>173767</v>
      </c>
      <c r="F59" s="5" t="s">
        <v>129</v>
      </c>
      <c r="G59" s="43">
        <v>3</v>
      </c>
      <c r="H59" s="5" t="s">
        <v>126</v>
      </c>
      <c r="I59" s="44">
        <v>180</v>
      </c>
      <c r="J59" s="5">
        <v>2</v>
      </c>
      <c r="K59" s="5" t="s">
        <v>181</v>
      </c>
      <c r="L59" s="5" t="s">
        <v>181</v>
      </c>
      <c r="M59" s="42">
        <v>43854</v>
      </c>
      <c r="N59" s="5" t="s">
        <v>181</v>
      </c>
      <c r="O59" s="5" t="s">
        <v>181</v>
      </c>
    </row>
    <row r="60" spans="1:15" outlineLevel="2" x14ac:dyDescent="0.3">
      <c r="A60" s="42">
        <v>44000</v>
      </c>
      <c r="B60" s="5" t="s">
        <v>178</v>
      </c>
      <c r="C60" s="5">
        <v>10111227</v>
      </c>
      <c r="D60" s="5">
        <v>50</v>
      </c>
      <c r="E60" s="5">
        <v>274805</v>
      </c>
      <c r="F60" s="5" t="s">
        <v>130</v>
      </c>
      <c r="G60" s="43">
        <v>10</v>
      </c>
      <c r="H60" s="5" t="s">
        <v>88</v>
      </c>
      <c r="I60" s="44">
        <v>600</v>
      </c>
      <c r="J60" s="5">
        <v>2</v>
      </c>
      <c r="K60" s="5" t="s">
        <v>181</v>
      </c>
      <c r="L60" s="5" t="s">
        <v>181</v>
      </c>
      <c r="M60" s="42">
        <v>43854</v>
      </c>
      <c r="N60" s="5" t="s">
        <v>181</v>
      </c>
      <c r="O60" s="5" t="s">
        <v>181</v>
      </c>
    </row>
    <row r="61" spans="1:15" outlineLevel="2" x14ac:dyDescent="0.3">
      <c r="A61" s="42">
        <v>44000</v>
      </c>
      <c r="B61" s="5" t="s">
        <v>178</v>
      </c>
      <c r="C61" s="5">
        <v>10111227</v>
      </c>
      <c r="D61" s="5">
        <v>60</v>
      </c>
      <c r="E61" s="5">
        <v>172829</v>
      </c>
      <c r="F61" s="5" t="s">
        <v>131</v>
      </c>
      <c r="G61" s="43">
        <v>10</v>
      </c>
      <c r="H61" s="5" t="s">
        <v>126</v>
      </c>
      <c r="I61" s="44">
        <v>600</v>
      </c>
      <c r="J61" s="5">
        <v>2</v>
      </c>
      <c r="K61" s="5" t="s">
        <v>181</v>
      </c>
      <c r="L61" s="5" t="s">
        <v>181</v>
      </c>
      <c r="M61" s="42">
        <v>43854</v>
      </c>
      <c r="N61" s="5" t="s">
        <v>181</v>
      </c>
      <c r="O61" s="5" t="s">
        <v>181</v>
      </c>
    </row>
    <row r="62" spans="1:15" outlineLevel="2" x14ac:dyDescent="0.3">
      <c r="A62" s="42">
        <v>44000</v>
      </c>
      <c r="B62" s="5" t="s">
        <v>178</v>
      </c>
      <c r="C62" s="5">
        <v>10111227</v>
      </c>
      <c r="D62" s="5">
        <v>70</v>
      </c>
      <c r="E62" s="5">
        <v>172501</v>
      </c>
      <c r="F62" s="5" t="s">
        <v>132</v>
      </c>
      <c r="G62" s="43">
        <v>20</v>
      </c>
      <c r="H62" s="5" t="s">
        <v>126</v>
      </c>
      <c r="I62" s="44">
        <v>1200</v>
      </c>
      <c r="J62" s="5">
        <v>2</v>
      </c>
      <c r="K62" s="5" t="s">
        <v>181</v>
      </c>
      <c r="L62" s="5" t="s">
        <v>181</v>
      </c>
      <c r="M62" s="42">
        <v>43854</v>
      </c>
      <c r="N62" s="5" t="s">
        <v>181</v>
      </c>
      <c r="O62" s="5" t="s">
        <v>181</v>
      </c>
    </row>
    <row r="63" spans="1:15" outlineLevel="1" x14ac:dyDescent="0.3">
      <c r="A63" s="46"/>
      <c r="B63" s="47"/>
      <c r="C63" s="47">
        <v>10111228</v>
      </c>
      <c r="D63" s="47"/>
      <c r="E63" s="47"/>
      <c r="F63" s="47"/>
      <c r="G63" s="48"/>
      <c r="H63" s="47"/>
      <c r="I63" s="49">
        <v>390</v>
      </c>
      <c r="J63" s="47"/>
      <c r="K63" s="47"/>
      <c r="L63" s="47"/>
      <c r="M63" s="46"/>
      <c r="N63" s="47"/>
      <c r="O63" s="47"/>
    </row>
    <row r="64" spans="1:15" outlineLevel="2" x14ac:dyDescent="0.3">
      <c r="A64" s="42">
        <v>44000</v>
      </c>
      <c r="B64" s="5" t="s">
        <v>178</v>
      </c>
      <c r="C64" s="5">
        <v>10111228</v>
      </c>
      <c r="D64" s="5">
        <v>100</v>
      </c>
      <c r="E64" s="5">
        <v>189712</v>
      </c>
      <c r="F64" s="5" t="s">
        <v>133</v>
      </c>
      <c r="G64" s="43">
        <v>30</v>
      </c>
      <c r="H64" s="5" t="s">
        <v>88</v>
      </c>
      <c r="I64" s="44">
        <v>390</v>
      </c>
      <c r="J64" s="5">
        <v>2</v>
      </c>
      <c r="K64" s="5" t="s">
        <v>183</v>
      </c>
      <c r="L64" s="5" t="s">
        <v>183</v>
      </c>
      <c r="M64" s="42">
        <v>43878</v>
      </c>
      <c r="N64" s="5" t="s">
        <v>183</v>
      </c>
      <c r="O64" s="5" t="s">
        <v>183</v>
      </c>
    </row>
    <row r="65" spans="1:15" outlineLevel="1" x14ac:dyDescent="0.3">
      <c r="A65" s="46"/>
      <c r="B65" s="47"/>
      <c r="C65" s="47">
        <v>10111229</v>
      </c>
      <c r="D65" s="47"/>
      <c r="E65" s="47"/>
      <c r="F65" s="47"/>
      <c r="G65" s="48"/>
      <c r="H65" s="47"/>
      <c r="I65" s="49">
        <v>9696.24</v>
      </c>
      <c r="J65" s="47"/>
      <c r="K65" s="47"/>
      <c r="L65" s="47"/>
      <c r="M65" s="46"/>
      <c r="N65" s="47"/>
      <c r="O65" s="47"/>
    </row>
    <row r="66" spans="1:15" outlineLevel="2" x14ac:dyDescent="0.3">
      <c r="A66" s="42">
        <v>44000</v>
      </c>
      <c r="B66" s="5" t="s">
        <v>178</v>
      </c>
      <c r="C66" s="5">
        <v>10111229</v>
      </c>
      <c r="D66" s="5">
        <v>10</v>
      </c>
      <c r="E66" s="5">
        <v>414576</v>
      </c>
      <c r="F66" s="5" t="s">
        <v>134</v>
      </c>
      <c r="G66" s="43">
        <v>24</v>
      </c>
      <c r="H66" s="5" t="s">
        <v>88</v>
      </c>
      <c r="I66" s="44">
        <v>2426.64</v>
      </c>
      <c r="J66" s="5">
        <v>2</v>
      </c>
      <c r="K66" s="5" t="s">
        <v>185</v>
      </c>
      <c r="L66" s="5" t="s">
        <v>185</v>
      </c>
      <c r="M66" s="42">
        <v>43893</v>
      </c>
      <c r="N66" s="5" t="s">
        <v>185</v>
      </c>
      <c r="O66" s="5" t="s">
        <v>185</v>
      </c>
    </row>
    <row r="67" spans="1:15" outlineLevel="2" x14ac:dyDescent="0.3">
      <c r="A67" s="42">
        <v>44000</v>
      </c>
      <c r="B67" s="5" t="s">
        <v>178</v>
      </c>
      <c r="C67" s="5">
        <v>10111229</v>
      </c>
      <c r="D67" s="5">
        <v>20</v>
      </c>
      <c r="E67" s="5">
        <v>488625</v>
      </c>
      <c r="F67" s="5" t="s">
        <v>134</v>
      </c>
      <c r="G67" s="43">
        <v>24</v>
      </c>
      <c r="H67" s="5" t="s">
        <v>88</v>
      </c>
      <c r="I67" s="44">
        <v>7269.6</v>
      </c>
      <c r="J67" s="5">
        <v>2</v>
      </c>
      <c r="K67" s="5" t="s">
        <v>185</v>
      </c>
      <c r="L67" s="5" t="s">
        <v>185</v>
      </c>
      <c r="M67" s="42">
        <v>43893</v>
      </c>
      <c r="N67" s="5" t="s">
        <v>185</v>
      </c>
      <c r="O67" s="5" t="s">
        <v>185</v>
      </c>
    </row>
    <row r="68" spans="1:15" outlineLevel="1" x14ac:dyDescent="0.3">
      <c r="A68" s="46"/>
      <c r="B68" s="47"/>
      <c r="C68" s="47">
        <v>10111230</v>
      </c>
      <c r="D68" s="47"/>
      <c r="E68" s="47"/>
      <c r="F68" s="47"/>
      <c r="G68" s="48"/>
      <c r="H68" s="47"/>
      <c r="I68" s="49">
        <v>9230</v>
      </c>
      <c r="J68" s="47"/>
      <c r="K68" s="47"/>
      <c r="L68" s="47"/>
      <c r="M68" s="46"/>
      <c r="N68" s="47"/>
      <c r="O68" s="47"/>
    </row>
    <row r="69" spans="1:15" outlineLevel="2" x14ac:dyDescent="0.3">
      <c r="A69" s="42">
        <v>44000</v>
      </c>
      <c r="B69" s="5" t="s">
        <v>178</v>
      </c>
      <c r="C69" s="5">
        <v>10111230</v>
      </c>
      <c r="D69" s="5">
        <v>10</v>
      </c>
      <c r="E69" s="5">
        <v>531695</v>
      </c>
      <c r="F69" s="5" t="s">
        <v>135</v>
      </c>
      <c r="G69" s="43">
        <v>1</v>
      </c>
      <c r="H69" s="5" t="s">
        <v>88</v>
      </c>
      <c r="I69" s="44">
        <v>9230</v>
      </c>
      <c r="J69" s="5">
        <v>2</v>
      </c>
      <c r="K69" s="5" t="s">
        <v>185</v>
      </c>
      <c r="L69" s="5" t="s">
        <v>185</v>
      </c>
      <c r="M69" s="42">
        <v>43901</v>
      </c>
      <c r="N69" s="5" t="s">
        <v>185</v>
      </c>
      <c r="O69" s="5" t="s">
        <v>185</v>
      </c>
    </row>
    <row r="70" spans="1:15" outlineLevel="1" x14ac:dyDescent="0.3">
      <c r="A70" s="46"/>
      <c r="B70" s="47"/>
      <c r="C70" s="47">
        <v>10111231</v>
      </c>
      <c r="D70" s="47"/>
      <c r="E70" s="47"/>
      <c r="F70" s="47"/>
      <c r="G70" s="48"/>
      <c r="H70" s="47"/>
      <c r="I70" s="49">
        <v>13404.3</v>
      </c>
      <c r="J70" s="47"/>
      <c r="K70" s="47"/>
      <c r="L70" s="47"/>
      <c r="M70" s="46"/>
      <c r="N70" s="47"/>
      <c r="O70" s="47"/>
    </row>
    <row r="71" spans="1:15" outlineLevel="2" x14ac:dyDescent="0.3">
      <c r="A71" s="42">
        <v>44000</v>
      </c>
      <c r="B71" s="5" t="s">
        <v>178</v>
      </c>
      <c r="C71" s="5">
        <v>10111231</v>
      </c>
      <c r="D71" s="5">
        <v>10</v>
      </c>
      <c r="E71" s="5">
        <v>485573</v>
      </c>
      <c r="F71" s="5" t="s">
        <v>136</v>
      </c>
      <c r="G71" s="43">
        <v>2</v>
      </c>
      <c r="H71" s="5" t="s">
        <v>88</v>
      </c>
      <c r="I71" s="44">
        <v>13404.3</v>
      </c>
      <c r="J71" s="5">
        <v>2</v>
      </c>
      <c r="K71" s="5" t="s">
        <v>185</v>
      </c>
      <c r="L71" s="5" t="s">
        <v>185</v>
      </c>
      <c r="M71" s="42">
        <v>43920</v>
      </c>
      <c r="N71" s="5" t="s">
        <v>185</v>
      </c>
      <c r="O71" s="5" t="s">
        <v>185</v>
      </c>
    </row>
    <row r="72" spans="1:15" outlineLevel="1" x14ac:dyDescent="0.3">
      <c r="A72" s="46"/>
      <c r="B72" s="47"/>
      <c r="C72" s="47">
        <v>10111232</v>
      </c>
      <c r="D72" s="47"/>
      <c r="E72" s="47"/>
      <c r="F72" s="47"/>
      <c r="G72" s="48"/>
      <c r="H72" s="47"/>
      <c r="I72" s="49">
        <v>21600</v>
      </c>
      <c r="J72" s="47"/>
      <c r="K72" s="47"/>
      <c r="L72" s="47"/>
      <c r="M72" s="46"/>
      <c r="N72" s="47"/>
      <c r="O72" s="47"/>
    </row>
    <row r="73" spans="1:15" outlineLevel="2" x14ac:dyDescent="0.3">
      <c r="A73" s="42">
        <v>44000</v>
      </c>
      <c r="B73" s="5" t="s">
        <v>178</v>
      </c>
      <c r="C73" s="5">
        <v>10111232</v>
      </c>
      <c r="D73" s="5">
        <v>10</v>
      </c>
      <c r="E73" s="5">
        <v>311158</v>
      </c>
      <c r="F73" s="5" t="s">
        <v>136</v>
      </c>
      <c r="G73" s="43">
        <v>4</v>
      </c>
      <c r="H73" s="5" t="s">
        <v>88</v>
      </c>
      <c r="I73" s="44">
        <v>21600</v>
      </c>
      <c r="J73" s="5">
        <v>2</v>
      </c>
      <c r="K73" s="5" t="s">
        <v>185</v>
      </c>
      <c r="L73" s="5" t="s">
        <v>185</v>
      </c>
      <c r="M73" s="42">
        <v>43920</v>
      </c>
      <c r="N73" s="5" t="s">
        <v>185</v>
      </c>
      <c r="O73" s="5" t="s">
        <v>185</v>
      </c>
    </row>
    <row r="74" spans="1:15" outlineLevel="1" x14ac:dyDescent="0.3">
      <c r="A74" s="46"/>
      <c r="B74" s="47"/>
      <c r="C74" s="47">
        <v>10111233</v>
      </c>
      <c r="D74" s="47"/>
      <c r="E74" s="47"/>
      <c r="F74" s="47"/>
      <c r="G74" s="48"/>
      <c r="H74" s="47"/>
      <c r="I74" s="49">
        <v>4680</v>
      </c>
      <c r="J74" s="47"/>
      <c r="K74" s="47"/>
      <c r="L74" s="47"/>
      <c r="M74" s="46"/>
      <c r="N74" s="47"/>
      <c r="O74" s="47"/>
    </row>
    <row r="75" spans="1:15" outlineLevel="2" x14ac:dyDescent="0.3">
      <c r="A75" s="42">
        <v>44000</v>
      </c>
      <c r="B75" s="5" t="s">
        <v>178</v>
      </c>
      <c r="C75" s="5">
        <v>10111233</v>
      </c>
      <c r="D75" s="5">
        <v>10</v>
      </c>
      <c r="E75" s="5">
        <v>503332</v>
      </c>
      <c r="F75" s="5" t="s">
        <v>137</v>
      </c>
      <c r="G75" s="43">
        <v>2</v>
      </c>
      <c r="H75" s="5" t="s">
        <v>88</v>
      </c>
      <c r="I75" s="44">
        <v>3400</v>
      </c>
      <c r="J75" s="5">
        <v>2</v>
      </c>
      <c r="K75" s="5" t="s">
        <v>181</v>
      </c>
      <c r="L75" s="5" t="s">
        <v>181</v>
      </c>
      <c r="M75" s="42">
        <v>43925</v>
      </c>
      <c r="N75" s="5" t="s">
        <v>181</v>
      </c>
      <c r="O75" s="5" t="s">
        <v>181</v>
      </c>
    </row>
    <row r="76" spans="1:15" outlineLevel="2" x14ac:dyDescent="0.3">
      <c r="A76" s="42">
        <v>44000</v>
      </c>
      <c r="B76" s="5" t="s">
        <v>178</v>
      </c>
      <c r="C76" s="5">
        <v>10111233</v>
      </c>
      <c r="D76" s="5">
        <v>20</v>
      </c>
      <c r="E76" s="5">
        <v>503335</v>
      </c>
      <c r="F76" s="5" t="s">
        <v>138</v>
      </c>
      <c r="G76" s="43">
        <v>2</v>
      </c>
      <c r="H76" s="5" t="s">
        <v>88</v>
      </c>
      <c r="I76" s="44">
        <v>690</v>
      </c>
      <c r="J76" s="5">
        <v>2</v>
      </c>
      <c r="K76" s="5" t="s">
        <v>181</v>
      </c>
      <c r="L76" s="5" t="s">
        <v>181</v>
      </c>
      <c r="M76" s="42">
        <v>43925</v>
      </c>
      <c r="N76" s="5" t="s">
        <v>181</v>
      </c>
      <c r="O76" s="5" t="s">
        <v>181</v>
      </c>
    </row>
    <row r="77" spans="1:15" outlineLevel="2" x14ac:dyDescent="0.3">
      <c r="A77" s="42">
        <v>44000</v>
      </c>
      <c r="B77" s="5" t="s">
        <v>178</v>
      </c>
      <c r="C77" s="5">
        <v>10111233</v>
      </c>
      <c r="D77" s="5">
        <v>30</v>
      </c>
      <c r="E77" s="5">
        <v>503334</v>
      </c>
      <c r="F77" s="5" t="s">
        <v>139</v>
      </c>
      <c r="G77" s="43">
        <v>2</v>
      </c>
      <c r="H77" s="5" t="s">
        <v>88</v>
      </c>
      <c r="I77" s="44">
        <v>300</v>
      </c>
      <c r="J77" s="5">
        <v>2</v>
      </c>
      <c r="K77" s="5" t="s">
        <v>181</v>
      </c>
      <c r="L77" s="5" t="s">
        <v>181</v>
      </c>
      <c r="M77" s="42">
        <v>43925</v>
      </c>
      <c r="N77" s="5" t="s">
        <v>181</v>
      </c>
      <c r="O77" s="5" t="s">
        <v>181</v>
      </c>
    </row>
    <row r="78" spans="1:15" outlineLevel="2" x14ac:dyDescent="0.3">
      <c r="A78" s="42">
        <v>44000</v>
      </c>
      <c r="B78" s="5" t="s">
        <v>178</v>
      </c>
      <c r="C78" s="5">
        <v>10111233</v>
      </c>
      <c r="D78" s="5">
        <v>40</v>
      </c>
      <c r="E78" s="5">
        <v>503331</v>
      </c>
      <c r="F78" s="5" t="s">
        <v>140</v>
      </c>
      <c r="G78" s="43">
        <v>1</v>
      </c>
      <c r="H78" s="5" t="s">
        <v>88</v>
      </c>
      <c r="I78" s="44">
        <v>290</v>
      </c>
      <c r="J78" s="5">
        <v>2</v>
      </c>
      <c r="K78" s="5" t="s">
        <v>181</v>
      </c>
      <c r="L78" s="5" t="s">
        <v>181</v>
      </c>
      <c r="M78" s="42">
        <v>43925</v>
      </c>
      <c r="N78" s="5" t="s">
        <v>181</v>
      </c>
      <c r="O78" s="5" t="s">
        <v>181</v>
      </c>
    </row>
    <row r="79" spans="1:15" outlineLevel="1" x14ac:dyDescent="0.3">
      <c r="A79" s="46"/>
      <c r="B79" s="47"/>
      <c r="C79" s="47">
        <v>10111234</v>
      </c>
      <c r="D79" s="47"/>
      <c r="E79" s="47"/>
      <c r="F79" s="47"/>
      <c r="G79" s="48"/>
      <c r="H79" s="47"/>
      <c r="I79" s="49">
        <v>3019.68</v>
      </c>
      <c r="J79" s="47"/>
      <c r="K79" s="47"/>
      <c r="L79" s="47"/>
      <c r="M79" s="46"/>
      <c r="N79" s="47"/>
      <c r="O79" s="47"/>
    </row>
    <row r="80" spans="1:15" outlineLevel="2" x14ac:dyDescent="0.3">
      <c r="A80" s="42">
        <v>44000</v>
      </c>
      <c r="B80" s="5" t="s">
        <v>178</v>
      </c>
      <c r="C80" s="5">
        <v>10111234</v>
      </c>
      <c r="D80" s="5">
        <v>10</v>
      </c>
      <c r="E80" s="5">
        <v>217915</v>
      </c>
      <c r="F80" s="5" t="s">
        <v>141</v>
      </c>
      <c r="G80" s="43">
        <v>72</v>
      </c>
      <c r="H80" s="5" t="s">
        <v>126</v>
      </c>
      <c r="I80" s="44">
        <v>3019.68</v>
      </c>
      <c r="J80" s="5">
        <v>2</v>
      </c>
      <c r="K80" s="5" t="s">
        <v>181</v>
      </c>
      <c r="L80" s="5" t="s">
        <v>181</v>
      </c>
      <c r="M80" s="42">
        <v>43926</v>
      </c>
      <c r="N80" s="5" t="s">
        <v>181</v>
      </c>
      <c r="O80" s="5" t="s">
        <v>181</v>
      </c>
    </row>
    <row r="81" spans="1:15" outlineLevel="1" x14ac:dyDescent="0.3">
      <c r="A81" s="46"/>
      <c r="B81" s="47"/>
      <c r="C81" s="47">
        <v>10111235</v>
      </c>
      <c r="D81" s="47"/>
      <c r="E81" s="47"/>
      <c r="F81" s="47"/>
      <c r="G81" s="48"/>
      <c r="H81" s="47"/>
      <c r="I81" s="49">
        <v>5460</v>
      </c>
      <c r="J81" s="47"/>
      <c r="K81" s="47"/>
      <c r="L81" s="47"/>
      <c r="M81" s="46"/>
      <c r="N81" s="47"/>
      <c r="O81" s="47"/>
    </row>
    <row r="82" spans="1:15" outlineLevel="2" x14ac:dyDescent="0.3">
      <c r="A82" s="42">
        <v>44000</v>
      </c>
      <c r="B82" s="5" t="s">
        <v>178</v>
      </c>
      <c r="C82" s="5">
        <v>10111236</v>
      </c>
      <c r="D82" s="5">
        <v>10</v>
      </c>
      <c r="E82" s="5">
        <v>107706</v>
      </c>
      <c r="F82" s="5" t="s">
        <v>142</v>
      </c>
      <c r="G82" s="43">
        <v>2</v>
      </c>
      <c r="H82" s="5" t="s">
        <v>143</v>
      </c>
      <c r="I82" s="44">
        <v>5460</v>
      </c>
      <c r="J82" s="5">
        <v>2</v>
      </c>
      <c r="K82" s="5" t="s">
        <v>181</v>
      </c>
      <c r="L82" s="5" t="s">
        <v>181</v>
      </c>
      <c r="M82" s="42">
        <v>43927</v>
      </c>
      <c r="N82" s="5" t="s">
        <v>181</v>
      </c>
      <c r="O82" s="5" t="s">
        <v>181</v>
      </c>
    </row>
    <row r="83" spans="1:15" outlineLevel="1" x14ac:dyDescent="0.3">
      <c r="A83" s="46"/>
      <c r="B83" s="47"/>
      <c r="C83" s="47">
        <v>10111237</v>
      </c>
      <c r="D83" s="47"/>
      <c r="E83" s="47"/>
      <c r="F83" s="47"/>
      <c r="G83" s="48"/>
      <c r="H83" s="47"/>
      <c r="I83" s="49">
        <v>223.28</v>
      </c>
      <c r="J83" s="47"/>
      <c r="K83" s="47"/>
      <c r="L83" s="47"/>
      <c r="M83" s="46"/>
      <c r="N83" s="47"/>
      <c r="O83" s="47"/>
    </row>
    <row r="84" spans="1:15" outlineLevel="2" x14ac:dyDescent="0.3">
      <c r="A84" s="42">
        <v>44000</v>
      </c>
      <c r="B84" s="5" t="s">
        <v>178</v>
      </c>
      <c r="C84" s="5">
        <v>10111237</v>
      </c>
      <c r="D84" s="5">
        <v>50</v>
      </c>
      <c r="E84" s="5">
        <v>535186</v>
      </c>
      <c r="F84" s="5" t="s">
        <v>144</v>
      </c>
      <c r="G84" s="43">
        <v>1</v>
      </c>
      <c r="H84" s="5" t="s">
        <v>88</v>
      </c>
      <c r="I84" s="44">
        <v>25.19</v>
      </c>
      <c r="J84" s="5">
        <v>2</v>
      </c>
      <c r="K84" s="5" t="s">
        <v>186</v>
      </c>
      <c r="L84" s="5" t="s">
        <v>186</v>
      </c>
      <c r="M84" s="42">
        <v>43935</v>
      </c>
      <c r="N84" s="5" t="s">
        <v>186</v>
      </c>
      <c r="O84" s="5" t="s">
        <v>186</v>
      </c>
    </row>
    <row r="85" spans="1:15" outlineLevel="2" x14ac:dyDescent="0.3">
      <c r="A85" s="42">
        <v>44000</v>
      </c>
      <c r="B85" s="5" t="s">
        <v>178</v>
      </c>
      <c r="C85" s="5">
        <v>10111237</v>
      </c>
      <c r="D85" s="5">
        <v>60</v>
      </c>
      <c r="E85" s="5">
        <v>520112</v>
      </c>
      <c r="F85" s="5" t="s">
        <v>145</v>
      </c>
      <c r="G85" s="43">
        <v>1</v>
      </c>
      <c r="H85" s="5" t="s">
        <v>88</v>
      </c>
      <c r="I85" s="44">
        <v>16.5</v>
      </c>
      <c r="J85" s="5">
        <v>2</v>
      </c>
      <c r="K85" s="5" t="s">
        <v>186</v>
      </c>
      <c r="L85" s="5" t="s">
        <v>186</v>
      </c>
      <c r="M85" s="42">
        <v>43935</v>
      </c>
      <c r="N85" s="5" t="s">
        <v>186</v>
      </c>
      <c r="O85" s="5" t="s">
        <v>186</v>
      </c>
    </row>
    <row r="86" spans="1:15" outlineLevel="2" x14ac:dyDescent="0.3">
      <c r="A86" s="42">
        <v>44000</v>
      </c>
      <c r="B86" s="5" t="s">
        <v>178</v>
      </c>
      <c r="C86" s="5">
        <v>10111237</v>
      </c>
      <c r="D86" s="5">
        <v>70</v>
      </c>
      <c r="E86" s="5">
        <v>499504</v>
      </c>
      <c r="F86" s="5" t="s">
        <v>146</v>
      </c>
      <c r="G86" s="43">
        <v>1</v>
      </c>
      <c r="H86" s="5" t="s">
        <v>88</v>
      </c>
      <c r="I86" s="44">
        <v>16.28</v>
      </c>
      <c r="J86" s="5">
        <v>2</v>
      </c>
      <c r="K86" s="5" t="s">
        <v>186</v>
      </c>
      <c r="L86" s="5" t="s">
        <v>186</v>
      </c>
      <c r="M86" s="42">
        <v>43935</v>
      </c>
      <c r="N86" s="5" t="s">
        <v>186</v>
      </c>
      <c r="O86" s="5" t="s">
        <v>186</v>
      </c>
    </row>
    <row r="87" spans="1:15" outlineLevel="2" x14ac:dyDescent="0.3">
      <c r="A87" s="42">
        <v>44000</v>
      </c>
      <c r="B87" s="5" t="s">
        <v>178</v>
      </c>
      <c r="C87" s="5">
        <v>10111237</v>
      </c>
      <c r="D87" s="5">
        <v>80</v>
      </c>
      <c r="E87" s="5">
        <v>520112</v>
      </c>
      <c r="F87" s="5" t="s">
        <v>145</v>
      </c>
      <c r="G87" s="43">
        <v>1</v>
      </c>
      <c r="H87" s="5" t="s">
        <v>88</v>
      </c>
      <c r="I87" s="44">
        <v>16.5</v>
      </c>
      <c r="J87" s="5">
        <v>2</v>
      </c>
      <c r="K87" s="5" t="s">
        <v>186</v>
      </c>
      <c r="L87" s="5" t="s">
        <v>186</v>
      </c>
      <c r="M87" s="42">
        <v>43935</v>
      </c>
      <c r="N87" s="5" t="s">
        <v>186</v>
      </c>
      <c r="O87" s="5" t="s">
        <v>186</v>
      </c>
    </row>
    <row r="88" spans="1:15" outlineLevel="2" x14ac:dyDescent="0.3">
      <c r="A88" s="42">
        <v>44000</v>
      </c>
      <c r="B88" s="5" t="s">
        <v>178</v>
      </c>
      <c r="C88" s="5">
        <v>10111237</v>
      </c>
      <c r="D88" s="5">
        <v>90</v>
      </c>
      <c r="E88" s="5">
        <v>317867</v>
      </c>
      <c r="F88" s="5" t="s">
        <v>147</v>
      </c>
      <c r="G88" s="43">
        <v>4</v>
      </c>
      <c r="H88" s="5" t="s">
        <v>88</v>
      </c>
      <c r="I88" s="44">
        <v>86.52</v>
      </c>
      <c r="J88" s="5">
        <v>2</v>
      </c>
      <c r="K88" s="5" t="s">
        <v>186</v>
      </c>
      <c r="L88" s="5" t="s">
        <v>186</v>
      </c>
      <c r="M88" s="42">
        <v>43935</v>
      </c>
      <c r="N88" s="5" t="s">
        <v>186</v>
      </c>
      <c r="O88" s="5" t="s">
        <v>186</v>
      </c>
    </row>
    <row r="89" spans="1:15" outlineLevel="2" x14ac:dyDescent="0.3">
      <c r="A89" s="42">
        <v>44000</v>
      </c>
      <c r="B89" s="5" t="s">
        <v>178</v>
      </c>
      <c r="C89" s="5">
        <v>10111237</v>
      </c>
      <c r="D89" s="5">
        <v>110</v>
      </c>
      <c r="E89" s="5">
        <v>227393</v>
      </c>
      <c r="F89" s="5" t="s">
        <v>148</v>
      </c>
      <c r="G89" s="43">
        <v>4</v>
      </c>
      <c r="H89" s="5" t="s">
        <v>88</v>
      </c>
      <c r="I89" s="44">
        <v>52.8</v>
      </c>
      <c r="J89" s="5">
        <v>2</v>
      </c>
      <c r="K89" s="5" t="s">
        <v>186</v>
      </c>
      <c r="L89" s="5" t="s">
        <v>186</v>
      </c>
      <c r="M89" s="42">
        <v>43935</v>
      </c>
      <c r="N89" s="5" t="s">
        <v>186</v>
      </c>
      <c r="O89" s="5" t="s">
        <v>186</v>
      </c>
    </row>
    <row r="90" spans="1:15" outlineLevel="2" x14ac:dyDescent="0.3">
      <c r="A90" s="42">
        <v>44000</v>
      </c>
      <c r="B90" s="5" t="s">
        <v>178</v>
      </c>
      <c r="C90" s="5">
        <v>10111237</v>
      </c>
      <c r="D90" s="5">
        <v>120</v>
      </c>
      <c r="E90" s="5">
        <v>167586</v>
      </c>
      <c r="F90" s="5" t="s">
        <v>149</v>
      </c>
      <c r="G90" s="43">
        <v>1</v>
      </c>
      <c r="H90" s="5" t="s">
        <v>88</v>
      </c>
      <c r="I90" s="44">
        <v>9.49</v>
      </c>
      <c r="J90" s="5">
        <v>2</v>
      </c>
      <c r="K90" s="5" t="s">
        <v>186</v>
      </c>
      <c r="L90" s="5" t="s">
        <v>186</v>
      </c>
      <c r="M90" s="42">
        <v>43935</v>
      </c>
      <c r="N90" s="5" t="s">
        <v>186</v>
      </c>
      <c r="O90" s="5" t="s">
        <v>186</v>
      </c>
    </row>
    <row r="91" spans="1:15" outlineLevel="1" x14ac:dyDescent="0.3">
      <c r="A91" s="46"/>
      <c r="B91" s="47"/>
      <c r="C91" s="47">
        <v>10111238</v>
      </c>
      <c r="D91" s="47"/>
      <c r="E91" s="47"/>
      <c r="F91" s="47"/>
      <c r="G91" s="48"/>
      <c r="H91" s="47"/>
      <c r="I91" s="49">
        <v>22797.25</v>
      </c>
      <c r="J91" s="47"/>
      <c r="K91" s="47"/>
      <c r="L91" s="47"/>
      <c r="M91" s="46"/>
      <c r="N91" s="47"/>
      <c r="O91" s="47"/>
    </row>
    <row r="92" spans="1:15" outlineLevel="2" x14ac:dyDescent="0.3">
      <c r="A92" s="42">
        <v>44000</v>
      </c>
      <c r="B92" s="5" t="s">
        <v>178</v>
      </c>
      <c r="C92" s="5">
        <v>10111238</v>
      </c>
      <c r="D92" s="5">
        <v>10</v>
      </c>
      <c r="E92" s="5">
        <v>294208</v>
      </c>
      <c r="F92" s="5" t="s">
        <v>150</v>
      </c>
      <c r="G92" s="43">
        <v>1</v>
      </c>
      <c r="H92" s="5" t="s">
        <v>151</v>
      </c>
      <c r="I92" s="44">
        <v>246.52</v>
      </c>
      <c r="J92" s="5">
        <v>2</v>
      </c>
      <c r="K92" s="5" t="s">
        <v>185</v>
      </c>
      <c r="L92" s="5" t="s">
        <v>185</v>
      </c>
      <c r="M92" s="42">
        <v>43939</v>
      </c>
      <c r="N92" s="5" t="s">
        <v>185</v>
      </c>
      <c r="O92" s="5" t="s">
        <v>185</v>
      </c>
    </row>
    <row r="93" spans="1:15" outlineLevel="2" x14ac:dyDescent="0.3">
      <c r="A93" s="42">
        <v>44000</v>
      </c>
      <c r="B93" s="5" t="s">
        <v>178</v>
      </c>
      <c r="C93" s="5">
        <v>10111238</v>
      </c>
      <c r="D93" s="5">
        <v>20</v>
      </c>
      <c r="E93" s="5">
        <v>180959</v>
      </c>
      <c r="F93" s="5" t="s">
        <v>152</v>
      </c>
      <c r="G93" s="43">
        <v>10</v>
      </c>
      <c r="H93" s="5" t="s">
        <v>88</v>
      </c>
      <c r="I93" s="44">
        <v>276.89999999999998</v>
      </c>
      <c r="J93" s="5">
        <v>2</v>
      </c>
      <c r="K93" s="5" t="s">
        <v>185</v>
      </c>
      <c r="L93" s="5" t="s">
        <v>185</v>
      </c>
      <c r="M93" s="42">
        <v>43939</v>
      </c>
      <c r="N93" s="5" t="s">
        <v>185</v>
      </c>
      <c r="O93" s="5" t="s">
        <v>185</v>
      </c>
    </row>
    <row r="94" spans="1:15" outlineLevel="2" x14ac:dyDescent="0.3">
      <c r="A94" s="42">
        <v>44000</v>
      </c>
      <c r="B94" s="5" t="s">
        <v>178</v>
      </c>
      <c r="C94" s="5">
        <v>10111238</v>
      </c>
      <c r="D94" s="5">
        <v>30</v>
      </c>
      <c r="E94" s="5">
        <v>313438</v>
      </c>
      <c r="F94" s="5" t="s">
        <v>153</v>
      </c>
      <c r="G94" s="43">
        <v>10</v>
      </c>
      <c r="H94" s="5" t="s">
        <v>88</v>
      </c>
      <c r="I94" s="44">
        <v>500</v>
      </c>
      <c r="J94" s="5">
        <v>2</v>
      </c>
      <c r="K94" s="5" t="s">
        <v>185</v>
      </c>
      <c r="L94" s="5" t="s">
        <v>185</v>
      </c>
      <c r="M94" s="42">
        <v>43939</v>
      </c>
      <c r="N94" s="5" t="s">
        <v>185</v>
      </c>
      <c r="O94" s="5" t="s">
        <v>185</v>
      </c>
    </row>
    <row r="95" spans="1:15" outlineLevel="2" x14ac:dyDescent="0.3">
      <c r="A95" s="42">
        <v>44000</v>
      </c>
      <c r="B95" s="5" t="s">
        <v>178</v>
      </c>
      <c r="C95" s="5">
        <v>10111238</v>
      </c>
      <c r="D95" s="5">
        <v>40</v>
      </c>
      <c r="E95" s="5">
        <v>468185</v>
      </c>
      <c r="F95" s="5" t="s">
        <v>154</v>
      </c>
      <c r="G95" s="43">
        <v>10</v>
      </c>
      <c r="H95" s="5" t="s">
        <v>88</v>
      </c>
      <c r="I95" s="44">
        <v>611</v>
      </c>
      <c r="J95" s="5">
        <v>2</v>
      </c>
      <c r="K95" s="5" t="s">
        <v>185</v>
      </c>
      <c r="L95" s="5" t="s">
        <v>185</v>
      </c>
      <c r="M95" s="42">
        <v>43939</v>
      </c>
      <c r="N95" s="5" t="s">
        <v>185</v>
      </c>
      <c r="O95" s="5" t="s">
        <v>185</v>
      </c>
    </row>
    <row r="96" spans="1:15" outlineLevel="2" x14ac:dyDescent="0.3">
      <c r="A96" s="42">
        <v>44000</v>
      </c>
      <c r="B96" s="5" t="s">
        <v>178</v>
      </c>
      <c r="C96" s="5">
        <v>10111238</v>
      </c>
      <c r="D96" s="5">
        <v>50</v>
      </c>
      <c r="E96" s="5">
        <v>468183</v>
      </c>
      <c r="F96" s="5" t="s">
        <v>155</v>
      </c>
      <c r="G96" s="43">
        <v>10</v>
      </c>
      <c r="H96" s="5" t="s">
        <v>88</v>
      </c>
      <c r="I96" s="44">
        <v>611</v>
      </c>
      <c r="J96" s="5">
        <v>2</v>
      </c>
      <c r="K96" s="5" t="s">
        <v>185</v>
      </c>
      <c r="L96" s="5" t="s">
        <v>185</v>
      </c>
      <c r="M96" s="42">
        <v>43939</v>
      </c>
      <c r="N96" s="5" t="s">
        <v>185</v>
      </c>
      <c r="O96" s="5" t="s">
        <v>185</v>
      </c>
    </row>
    <row r="97" spans="1:15" outlineLevel="2" x14ac:dyDescent="0.3">
      <c r="A97" s="42">
        <v>44000</v>
      </c>
      <c r="B97" s="5" t="s">
        <v>178</v>
      </c>
      <c r="C97" s="5">
        <v>10111238</v>
      </c>
      <c r="D97" s="5">
        <v>60</v>
      </c>
      <c r="E97" s="5">
        <v>468184</v>
      </c>
      <c r="F97" s="5" t="s">
        <v>156</v>
      </c>
      <c r="G97" s="43">
        <v>10</v>
      </c>
      <c r="H97" s="5" t="s">
        <v>88</v>
      </c>
      <c r="I97" s="44">
        <v>611</v>
      </c>
      <c r="J97" s="5">
        <v>2</v>
      </c>
      <c r="K97" s="5" t="s">
        <v>185</v>
      </c>
      <c r="L97" s="5" t="s">
        <v>185</v>
      </c>
      <c r="M97" s="42">
        <v>43939</v>
      </c>
      <c r="N97" s="5" t="s">
        <v>185</v>
      </c>
      <c r="O97" s="5" t="s">
        <v>185</v>
      </c>
    </row>
    <row r="98" spans="1:15" outlineLevel="2" x14ac:dyDescent="0.3">
      <c r="A98" s="42">
        <v>44000</v>
      </c>
      <c r="B98" s="5" t="s">
        <v>178</v>
      </c>
      <c r="C98" s="5">
        <v>10111238</v>
      </c>
      <c r="D98" s="5">
        <v>70</v>
      </c>
      <c r="E98" s="5">
        <v>266944</v>
      </c>
      <c r="F98" s="5" t="s">
        <v>157</v>
      </c>
      <c r="G98" s="43">
        <v>1</v>
      </c>
      <c r="H98" s="5" t="s">
        <v>88</v>
      </c>
      <c r="I98" s="44">
        <v>6500</v>
      </c>
      <c r="J98" s="5">
        <v>2</v>
      </c>
      <c r="K98" s="5" t="s">
        <v>185</v>
      </c>
      <c r="L98" s="5" t="s">
        <v>185</v>
      </c>
      <c r="M98" s="42">
        <v>43939</v>
      </c>
      <c r="N98" s="5" t="s">
        <v>185</v>
      </c>
      <c r="O98" s="5" t="s">
        <v>185</v>
      </c>
    </row>
    <row r="99" spans="1:15" outlineLevel="2" x14ac:dyDescent="0.3">
      <c r="A99" s="42">
        <v>44000</v>
      </c>
      <c r="B99" s="5" t="s">
        <v>178</v>
      </c>
      <c r="C99" s="5">
        <v>10111238</v>
      </c>
      <c r="D99" s="5">
        <v>80</v>
      </c>
      <c r="E99" s="5">
        <v>266947</v>
      </c>
      <c r="F99" s="5" t="s">
        <v>158</v>
      </c>
      <c r="G99" s="43">
        <v>1</v>
      </c>
      <c r="H99" s="5" t="s">
        <v>88</v>
      </c>
      <c r="I99" s="44">
        <v>4524</v>
      </c>
      <c r="J99" s="5">
        <v>2</v>
      </c>
      <c r="K99" s="5" t="s">
        <v>185</v>
      </c>
      <c r="L99" s="5" t="s">
        <v>185</v>
      </c>
      <c r="M99" s="42">
        <v>43939</v>
      </c>
      <c r="N99" s="5" t="s">
        <v>185</v>
      </c>
      <c r="O99" s="5" t="s">
        <v>185</v>
      </c>
    </row>
    <row r="100" spans="1:15" outlineLevel="2" x14ac:dyDescent="0.3">
      <c r="A100" s="42">
        <v>44000</v>
      </c>
      <c r="B100" s="5" t="s">
        <v>178</v>
      </c>
      <c r="C100" s="5">
        <v>10111238</v>
      </c>
      <c r="D100" s="5">
        <v>90</v>
      </c>
      <c r="E100" s="5">
        <v>192649</v>
      </c>
      <c r="F100" s="5" t="s">
        <v>159</v>
      </c>
      <c r="G100" s="43">
        <v>1</v>
      </c>
      <c r="H100" s="5" t="s">
        <v>88</v>
      </c>
      <c r="I100" s="44">
        <v>16.899999999999999</v>
      </c>
      <c r="J100" s="5">
        <v>2</v>
      </c>
      <c r="K100" s="5" t="s">
        <v>185</v>
      </c>
      <c r="L100" s="5" t="s">
        <v>185</v>
      </c>
      <c r="M100" s="42">
        <v>43939</v>
      </c>
      <c r="N100" s="5" t="s">
        <v>185</v>
      </c>
      <c r="O100" s="5" t="s">
        <v>185</v>
      </c>
    </row>
    <row r="101" spans="1:15" outlineLevel="2" x14ac:dyDescent="0.3">
      <c r="A101" s="42">
        <v>44000</v>
      </c>
      <c r="B101" s="5" t="s">
        <v>178</v>
      </c>
      <c r="C101" s="5">
        <v>10111238</v>
      </c>
      <c r="D101" s="5">
        <v>100</v>
      </c>
      <c r="E101" s="5">
        <v>206279</v>
      </c>
      <c r="F101" s="5" t="s">
        <v>160</v>
      </c>
      <c r="G101" s="43">
        <v>1</v>
      </c>
      <c r="H101" s="5" t="s">
        <v>88</v>
      </c>
      <c r="I101" s="44">
        <v>452.4</v>
      </c>
      <c r="J101" s="5">
        <v>2</v>
      </c>
      <c r="K101" s="5" t="s">
        <v>185</v>
      </c>
      <c r="L101" s="5" t="s">
        <v>185</v>
      </c>
      <c r="M101" s="42">
        <v>43939</v>
      </c>
      <c r="N101" s="5" t="s">
        <v>185</v>
      </c>
      <c r="O101" s="5" t="s">
        <v>185</v>
      </c>
    </row>
    <row r="102" spans="1:15" outlineLevel="2" x14ac:dyDescent="0.3">
      <c r="A102" s="42">
        <v>44000</v>
      </c>
      <c r="B102" s="5" t="s">
        <v>178</v>
      </c>
      <c r="C102" s="5">
        <v>10111238</v>
      </c>
      <c r="D102" s="5">
        <v>110</v>
      </c>
      <c r="E102" s="5">
        <v>449838</v>
      </c>
      <c r="F102" s="5" t="s">
        <v>161</v>
      </c>
      <c r="G102" s="43">
        <v>1</v>
      </c>
      <c r="H102" s="5" t="s">
        <v>88</v>
      </c>
      <c r="I102" s="44">
        <v>64.61</v>
      </c>
      <c r="J102" s="5">
        <v>2</v>
      </c>
      <c r="K102" s="5" t="s">
        <v>185</v>
      </c>
      <c r="L102" s="5" t="s">
        <v>185</v>
      </c>
      <c r="M102" s="42">
        <v>43939</v>
      </c>
      <c r="N102" s="5" t="s">
        <v>185</v>
      </c>
      <c r="O102" s="5" t="s">
        <v>185</v>
      </c>
    </row>
    <row r="103" spans="1:15" outlineLevel="2" x14ac:dyDescent="0.3">
      <c r="A103" s="42">
        <v>44000</v>
      </c>
      <c r="B103" s="5" t="s">
        <v>178</v>
      </c>
      <c r="C103" s="5">
        <v>10111238</v>
      </c>
      <c r="D103" s="5">
        <v>120</v>
      </c>
      <c r="E103" s="5">
        <v>290958</v>
      </c>
      <c r="F103" s="5" t="s">
        <v>162</v>
      </c>
      <c r="G103" s="43">
        <v>1</v>
      </c>
      <c r="H103" s="5" t="s">
        <v>88</v>
      </c>
      <c r="I103" s="44">
        <v>474.5</v>
      </c>
      <c r="J103" s="5">
        <v>2</v>
      </c>
      <c r="K103" s="5" t="s">
        <v>185</v>
      </c>
      <c r="L103" s="5" t="s">
        <v>185</v>
      </c>
      <c r="M103" s="42">
        <v>43939</v>
      </c>
      <c r="N103" s="5" t="s">
        <v>185</v>
      </c>
      <c r="O103" s="5" t="s">
        <v>185</v>
      </c>
    </row>
    <row r="104" spans="1:15" outlineLevel="2" x14ac:dyDescent="0.3">
      <c r="A104" s="42">
        <v>44000</v>
      </c>
      <c r="B104" s="5" t="s">
        <v>178</v>
      </c>
      <c r="C104" s="5">
        <v>10111238</v>
      </c>
      <c r="D104" s="5">
        <v>130</v>
      </c>
      <c r="E104" s="5">
        <v>284420</v>
      </c>
      <c r="F104" s="5" t="s">
        <v>163</v>
      </c>
      <c r="G104" s="43">
        <v>1</v>
      </c>
      <c r="H104" s="5" t="s">
        <v>88</v>
      </c>
      <c r="I104" s="44">
        <v>496.15</v>
      </c>
      <c r="J104" s="5">
        <v>2</v>
      </c>
      <c r="K104" s="5" t="s">
        <v>185</v>
      </c>
      <c r="L104" s="5" t="s">
        <v>185</v>
      </c>
      <c r="M104" s="42">
        <v>43939</v>
      </c>
      <c r="N104" s="5" t="s">
        <v>185</v>
      </c>
      <c r="O104" s="5" t="s">
        <v>185</v>
      </c>
    </row>
    <row r="105" spans="1:15" outlineLevel="2" x14ac:dyDescent="0.3">
      <c r="A105" s="42">
        <v>44000</v>
      </c>
      <c r="B105" s="5" t="s">
        <v>178</v>
      </c>
      <c r="C105" s="5">
        <v>10111238</v>
      </c>
      <c r="D105" s="5">
        <v>140</v>
      </c>
      <c r="E105" s="5">
        <v>436507</v>
      </c>
      <c r="F105" s="5" t="s">
        <v>164</v>
      </c>
      <c r="G105" s="43">
        <v>1</v>
      </c>
      <c r="H105" s="5" t="s">
        <v>88</v>
      </c>
      <c r="I105" s="44">
        <v>78</v>
      </c>
      <c r="J105" s="5">
        <v>2</v>
      </c>
      <c r="K105" s="5" t="s">
        <v>185</v>
      </c>
      <c r="L105" s="5" t="s">
        <v>185</v>
      </c>
      <c r="M105" s="42">
        <v>43939</v>
      </c>
      <c r="N105" s="5" t="s">
        <v>185</v>
      </c>
      <c r="O105" s="5" t="s">
        <v>185</v>
      </c>
    </row>
    <row r="106" spans="1:15" outlineLevel="2" x14ac:dyDescent="0.3">
      <c r="A106" s="42">
        <v>44000</v>
      </c>
      <c r="B106" s="5" t="s">
        <v>178</v>
      </c>
      <c r="C106" s="5">
        <v>10111238</v>
      </c>
      <c r="D106" s="5">
        <v>150</v>
      </c>
      <c r="E106" s="5">
        <v>284425</v>
      </c>
      <c r="F106" s="5" t="s">
        <v>165</v>
      </c>
      <c r="G106" s="43">
        <v>1</v>
      </c>
      <c r="H106" s="5" t="s">
        <v>88</v>
      </c>
      <c r="I106" s="44">
        <v>78</v>
      </c>
      <c r="J106" s="5">
        <v>2</v>
      </c>
      <c r="K106" s="5" t="s">
        <v>185</v>
      </c>
      <c r="L106" s="5" t="s">
        <v>185</v>
      </c>
      <c r="M106" s="42">
        <v>43939</v>
      </c>
      <c r="N106" s="5" t="s">
        <v>185</v>
      </c>
      <c r="O106" s="5" t="s">
        <v>185</v>
      </c>
    </row>
    <row r="107" spans="1:15" outlineLevel="2" x14ac:dyDescent="0.3">
      <c r="A107" s="42">
        <v>44000</v>
      </c>
      <c r="B107" s="5" t="s">
        <v>178</v>
      </c>
      <c r="C107" s="5">
        <v>10111238</v>
      </c>
      <c r="D107" s="5">
        <v>160</v>
      </c>
      <c r="E107" s="5">
        <v>284423</v>
      </c>
      <c r="F107" s="5" t="s">
        <v>165</v>
      </c>
      <c r="G107" s="43">
        <v>1</v>
      </c>
      <c r="H107" s="5" t="s">
        <v>88</v>
      </c>
      <c r="I107" s="44">
        <v>78</v>
      </c>
      <c r="J107" s="5">
        <v>2</v>
      </c>
      <c r="K107" s="5" t="s">
        <v>185</v>
      </c>
      <c r="L107" s="5" t="s">
        <v>185</v>
      </c>
      <c r="M107" s="42">
        <v>43939</v>
      </c>
      <c r="N107" s="5" t="s">
        <v>185</v>
      </c>
      <c r="O107" s="5" t="s">
        <v>185</v>
      </c>
    </row>
    <row r="108" spans="1:15" outlineLevel="2" x14ac:dyDescent="0.3">
      <c r="A108" s="42">
        <v>44000</v>
      </c>
      <c r="B108" s="5" t="s">
        <v>178</v>
      </c>
      <c r="C108" s="5">
        <v>10111238</v>
      </c>
      <c r="D108" s="5">
        <v>170</v>
      </c>
      <c r="E108" s="5">
        <v>115838</v>
      </c>
      <c r="F108" s="5" t="s">
        <v>166</v>
      </c>
      <c r="G108" s="43">
        <v>5</v>
      </c>
      <c r="H108" s="5" t="s">
        <v>93</v>
      </c>
      <c r="I108" s="44">
        <v>62.6</v>
      </c>
      <c r="J108" s="5">
        <v>2</v>
      </c>
      <c r="K108" s="5" t="s">
        <v>185</v>
      </c>
      <c r="L108" s="5" t="s">
        <v>185</v>
      </c>
      <c r="M108" s="42">
        <v>43939</v>
      </c>
      <c r="N108" s="5" t="s">
        <v>185</v>
      </c>
      <c r="O108" s="5" t="s">
        <v>185</v>
      </c>
    </row>
    <row r="109" spans="1:15" outlineLevel="2" x14ac:dyDescent="0.3">
      <c r="A109" s="42">
        <v>44000</v>
      </c>
      <c r="B109" s="5" t="s">
        <v>178</v>
      </c>
      <c r="C109" s="5">
        <v>10111238</v>
      </c>
      <c r="D109" s="5">
        <v>180</v>
      </c>
      <c r="E109" s="5">
        <v>105540</v>
      </c>
      <c r="F109" s="5" t="s">
        <v>167</v>
      </c>
      <c r="G109" s="43">
        <v>5</v>
      </c>
      <c r="H109" s="5" t="s">
        <v>143</v>
      </c>
      <c r="I109" s="44">
        <v>313</v>
      </c>
      <c r="J109" s="5">
        <v>2</v>
      </c>
      <c r="K109" s="5" t="s">
        <v>185</v>
      </c>
      <c r="L109" s="5" t="s">
        <v>185</v>
      </c>
      <c r="M109" s="42">
        <v>43939</v>
      </c>
      <c r="N109" s="5" t="s">
        <v>185</v>
      </c>
      <c r="O109" s="5" t="s">
        <v>185</v>
      </c>
    </row>
    <row r="110" spans="1:15" outlineLevel="2" x14ac:dyDescent="0.3">
      <c r="A110" s="42">
        <v>44000</v>
      </c>
      <c r="B110" s="5" t="s">
        <v>178</v>
      </c>
      <c r="C110" s="5">
        <v>10111238</v>
      </c>
      <c r="D110" s="5">
        <v>190</v>
      </c>
      <c r="E110" s="5">
        <v>336433</v>
      </c>
      <c r="F110" s="5" t="s">
        <v>168</v>
      </c>
      <c r="G110" s="43">
        <v>10</v>
      </c>
      <c r="H110" s="5" t="s">
        <v>88</v>
      </c>
      <c r="I110" s="44">
        <v>90</v>
      </c>
      <c r="J110" s="5">
        <v>2</v>
      </c>
      <c r="K110" s="5" t="s">
        <v>185</v>
      </c>
      <c r="L110" s="5" t="s">
        <v>185</v>
      </c>
      <c r="M110" s="42">
        <v>43939</v>
      </c>
      <c r="N110" s="5" t="s">
        <v>185</v>
      </c>
      <c r="O110" s="5" t="s">
        <v>185</v>
      </c>
    </row>
    <row r="111" spans="1:15" outlineLevel="2" x14ac:dyDescent="0.3">
      <c r="A111" s="42">
        <v>44000</v>
      </c>
      <c r="B111" s="5" t="s">
        <v>178</v>
      </c>
      <c r="C111" s="5">
        <v>10111238</v>
      </c>
      <c r="D111" s="5">
        <v>200</v>
      </c>
      <c r="E111" s="5">
        <v>212305</v>
      </c>
      <c r="F111" s="5" t="s">
        <v>169</v>
      </c>
      <c r="G111" s="43">
        <v>1</v>
      </c>
      <c r="H111" s="5" t="s">
        <v>88</v>
      </c>
      <c r="I111" s="44">
        <v>132.41</v>
      </c>
      <c r="J111" s="5">
        <v>2</v>
      </c>
      <c r="K111" s="5" t="s">
        <v>185</v>
      </c>
      <c r="L111" s="5" t="s">
        <v>185</v>
      </c>
      <c r="M111" s="42">
        <v>43939</v>
      </c>
      <c r="N111" s="5" t="s">
        <v>185</v>
      </c>
      <c r="O111" s="5" t="s">
        <v>185</v>
      </c>
    </row>
    <row r="112" spans="1:15" outlineLevel="2" x14ac:dyDescent="0.3">
      <c r="A112" s="42">
        <v>44000</v>
      </c>
      <c r="B112" s="5" t="s">
        <v>178</v>
      </c>
      <c r="C112" s="5">
        <v>10111238</v>
      </c>
      <c r="D112" s="5">
        <v>210</v>
      </c>
      <c r="E112" s="5">
        <v>295803</v>
      </c>
      <c r="F112" s="5" t="s">
        <v>170</v>
      </c>
      <c r="G112" s="43">
        <v>1</v>
      </c>
      <c r="H112" s="5" t="s">
        <v>88</v>
      </c>
      <c r="I112" s="44">
        <v>591.16</v>
      </c>
      <c r="J112" s="5">
        <v>2</v>
      </c>
      <c r="K112" s="5" t="s">
        <v>185</v>
      </c>
      <c r="L112" s="5" t="s">
        <v>185</v>
      </c>
      <c r="M112" s="42">
        <v>43939</v>
      </c>
      <c r="N112" s="5" t="s">
        <v>185</v>
      </c>
      <c r="O112" s="5" t="s">
        <v>185</v>
      </c>
    </row>
    <row r="113" spans="1:15" outlineLevel="2" x14ac:dyDescent="0.3">
      <c r="A113" s="42">
        <v>44000</v>
      </c>
      <c r="B113" s="5" t="s">
        <v>178</v>
      </c>
      <c r="C113" s="5">
        <v>10111238</v>
      </c>
      <c r="D113" s="5">
        <v>220</v>
      </c>
      <c r="E113" s="5">
        <v>296142</v>
      </c>
      <c r="F113" s="5" t="s">
        <v>171</v>
      </c>
      <c r="G113" s="43">
        <v>1</v>
      </c>
      <c r="H113" s="5" t="s">
        <v>88</v>
      </c>
      <c r="I113" s="44">
        <v>234</v>
      </c>
      <c r="J113" s="5">
        <v>2</v>
      </c>
      <c r="K113" s="5" t="s">
        <v>185</v>
      </c>
      <c r="L113" s="5" t="s">
        <v>185</v>
      </c>
      <c r="M113" s="42">
        <v>43939</v>
      </c>
      <c r="N113" s="5" t="s">
        <v>185</v>
      </c>
      <c r="O113" s="5" t="s">
        <v>185</v>
      </c>
    </row>
    <row r="114" spans="1:15" outlineLevel="2" x14ac:dyDescent="0.3">
      <c r="A114" s="42">
        <v>44000</v>
      </c>
      <c r="B114" s="5" t="s">
        <v>178</v>
      </c>
      <c r="C114" s="5">
        <v>10111238</v>
      </c>
      <c r="D114" s="5">
        <v>230</v>
      </c>
      <c r="E114" s="5">
        <v>412208</v>
      </c>
      <c r="F114" s="5" t="s">
        <v>172</v>
      </c>
      <c r="G114" s="43">
        <v>1</v>
      </c>
      <c r="H114" s="5" t="s">
        <v>88</v>
      </c>
      <c r="I114" s="44">
        <v>306.54000000000002</v>
      </c>
      <c r="J114" s="5">
        <v>2</v>
      </c>
      <c r="K114" s="5" t="s">
        <v>185</v>
      </c>
      <c r="L114" s="5" t="s">
        <v>185</v>
      </c>
      <c r="M114" s="42">
        <v>43939</v>
      </c>
      <c r="N114" s="5" t="s">
        <v>185</v>
      </c>
      <c r="O114" s="5" t="s">
        <v>185</v>
      </c>
    </row>
    <row r="115" spans="1:15" outlineLevel="2" x14ac:dyDescent="0.3">
      <c r="A115" s="42">
        <v>44000</v>
      </c>
      <c r="B115" s="5" t="s">
        <v>178</v>
      </c>
      <c r="C115" s="5">
        <v>10111238</v>
      </c>
      <c r="D115" s="5">
        <v>240</v>
      </c>
      <c r="E115" s="5">
        <v>502003</v>
      </c>
      <c r="F115" s="5" t="s">
        <v>173</v>
      </c>
      <c r="G115" s="43">
        <v>1</v>
      </c>
      <c r="H115" s="5" t="s">
        <v>88</v>
      </c>
      <c r="I115" s="44">
        <v>3250</v>
      </c>
      <c r="J115" s="5">
        <v>2</v>
      </c>
      <c r="K115" s="5" t="s">
        <v>185</v>
      </c>
      <c r="L115" s="5" t="s">
        <v>185</v>
      </c>
      <c r="M115" s="42">
        <v>43939</v>
      </c>
      <c r="N115" s="5" t="s">
        <v>185</v>
      </c>
      <c r="O115" s="5" t="s">
        <v>185</v>
      </c>
    </row>
    <row r="116" spans="1:15" outlineLevel="2" x14ac:dyDescent="0.3">
      <c r="A116" s="42">
        <v>44000</v>
      </c>
      <c r="B116" s="5" t="s">
        <v>178</v>
      </c>
      <c r="C116" s="5">
        <v>10111238</v>
      </c>
      <c r="D116" s="5">
        <v>250</v>
      </c>
      <c r="E116" s="5">
        <v>296983</v>
      </c>
      <c r="F116" s="5" t="s">
        <v>174</v>
      </c>
      <c r="G116" s="43">
        <v>1</v>
      </c>
      <c r="H116" s="5" t="s">
        <v>88</v>
      </c>
      <c r="I116" s="44">
        <v>1844.96</v>
      </c>
      <c r="J116" s="5">
        <v>2</v>
      </c>
      <c r="K116" s="5" t="s">
        <v>185</v>
      </c>
      <c r="L116" s="5" t="s">
        <v>185</v>
      </c>
      <c r="M116" s="42">
        <v>43939</v>
      </c>
      <c r="N116" s="5" t="s">
        <v>185</v>
      </c>
      <c r="O116" s="5" t="s">
        <v>185</v>
      </c>
    </row>
    <row r="117" spans="1:15" outlineLevel="2" x14ac:dyDescent="0.3">
      <c r="A117" s="42">
        <v>44000</v>
      </c>
      <c r="B117" s="5" t="s">
        <v>178</v>
      </c>
      <c r="C117" s="5">
        <v>10111238</v>
      </c>
      <c r="D117" s="5">
        <v>260</v>
      </c>
      <c r="E117" s="5">
        <v>295456</v>
      </c>
      <c r="F117" s="5" t="s">
        <v>175</v>
      </c>
      <c r="G117" s="43">
        <v>1</v>
      </c>
      <c r="H117" s="5" t="s">
        <v>88</v>
      </c>
      <c r="I117" s="44">
        <v>353.6</v>
      </c>
      <c r="J117" s="5">
        <v>2</v>
      </c>
      <c r="K117" s="5" t="s">
        <v>185</v>
      </c>
      <c r="L117" s="5" t="s">
        <v>185</v>
      </c>
      <c r="M117" s="42">
        <v>43939</v>
      </c>
      <c r="N117" s="5" t="s">
        <v>185</v>
      </c>
      <c r="O117" s="5" t="s">
        <v>185</v>
      </c>
    </row>
    <row r="118" spans="1:15" outlineLevel="1" x14ac:dyDescent="0.3">
      <c r="A118" s="46"/>
      <c r="B118" s="47"/>
      <c r="C118" s="47">
        <v>10111239</v>
      </c>
      <c r="D118" s="47"/>
      <c r="E118" s="47"/>
      <c r="F118" s="47"/>
      <c r="G118" s="48"/>
      <c r="H118" s="47"/>
      <c r="I118" s="49">
        <v>360</v>
      </c>
      <c r="J118" s="47"/>
      <c r="K118" s="47"/>
      <c r="L118" s="47"/>
      <c r="M118" s="46"/>
      <c r="N118" s="47"/>
      <c r="O118" s="47"/>
    </row>
    <row r="119" spans="1:15" outlineLevel="2" x14ac:dyDescent="0.3">
      <c r="A119" s="42">
        <v>44000</v>
      </c>
      <c r="B119" s="5" t="s">
        <v>178</v>
      </c>
      <c r="C119" s="5">
        <v>10111239</v>
      </c>
      <c r="D119" s="5">
        <v>10</v>
      </c>
      <c r="E119" s="5">
        <v>536455</v>
      </c>
      <c r="F119" s="5" t="s">
        <v>176</v>
      </c>
      <c r="G119" s="43">
        <v>1</v>
      </c>
      <c r="H119" s="5" t="s">
        <v>88</v>
      </c>
      <c r="I119" s="44">
        <v>180</v>
      </c>
      <c r="J119" s="5">
        <v>2</v>
      </c>
      <c r="K119" s="5" t="s">
        <v>183</v>
      </c>
      <c r="L119" s="5" t="s">
        <v>183</v>
      </c>
      <c r="M119" s="42">
        <v>43944</v>
      </c>
      <c r="N119" s="5" t="s">
        <v>183</v>
      </c>
      <c r="O119" s="5" t="s">
        <v>183</v>
      </c>
    </row>
    <row r="120" spans="1:15" outlineLevel="2" x14ac:dyDescent="0.3">
      <c r="A120" s="42">
        <v>44000</v>
      </c>
      <c r="B120" s="5" t="s">
        <v>178</v>
      </c>
      <c r="C120" s="5">
        <v>10111239</v>
      </c>
      <c r="D120" s="5">
        <v>20</v>
      </c>
      <c r="E120" s="5">
        <v>536456</v>
      </c>
      <c r="F120" s="5" t="s">
        <v>177</v>
      </c>
      <c r="G120" s="43">
        <v>1</v>
      </c>
      <c r="H120" s="5" t="s">
        <v>88</v>
      </c>
      <c r="I120" s="44">
        <v>180</v>
      </c>
      <c r="J120" s="5">
        <v>2</v>
      </c>
      <c r="K120" s="5" t="s">
        <v>183</v>
      </c>
      <c r="L120" s="5" t="s">
        <v>183</v>
      </c>
      <c r="M120" s="42">
        <v>43944</v>
      </c>
      <c r="N120" s="5" t="s">
        <v>183</v>
      </c>
      <c r="O120" s="5" t="s">
        <v>183</v>
      </c>
    </row>
  </sheetData>
  <autoFilter ref="A1:O120" xr:uid="{3EA3D6BC-4BA9-4D48-A95A-D4D44F0C00AF}"/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1E1365-8AE5-408D-9995-601CB884DD0C}">
  <sheetPr codeName="plAnaliseGeral">
    <tabColor theme="0"/>
  </sheetPr>
  <dimension ref="A1:AI18"/>
  <sheetViews>
    <sheetView showGridLines="0" workbookViewId="0"/>
  </sheetViews>
  <sheetFormatPr defaultRowHeight="12.75" x14ac:dyDescent="0.25"/>
  <cols>
    <col min="1" max="1" width="9.140625" style="10"/>
    <col min="2" max="2" width="14.140625" style="10" bestFit="1" customWidth="1"/>
    <col min="3" max="3" width="11" style="9" bestFit="1" customWidth="1"/>
    <col min="4" max="4" width="9.140625" style="9"/>
    <col min="5" max="17" width="9.140625" style="10"/>
    <col min="18" max="18" width="7.42578125" style="9" bestFit="1" customWidth="1"/>
    <col min="19" max="19" width="13.140625" style="10" customWidth="1"/>
    <col min="20" max="20" width="12.140625" style="9" bestFit="1" customWidth="1"/>
    <col min="21" max="21" width="12.140625" style="9" customWidth="1"/>
    <col min="22" max="22" width="11" style="9" bestFit="1" customWidth="1"/>
    <col min="23" max="23" width="9.140625" style="10"/>
    <col min="24" max="24" width="17" style="10" bestFit="1" customWidth="1"/>
    <col min="25" max="25" width="9.42578125" style="10" bestFit="1" customWidth="1"/>
    <col min="26" max="27" width="9.140625" style="10"/>
    <col min="28" max="28" width="18.140625" style="10" bestFit="1" customWidth="1"/>
    <col min="29" max="29" width="9.42578125" style="10" bestFit="1" customWidth="1"/>
    <col min="30" max="30" width="9.28515625" style="10" bestFit="1" customWidth="1"/>
    <col min="31" max="31" width="12.140625" style="10" bestFit="1" customWidth="1"/>
    <col min="32" max="32" width="9.140625" style="10"/>
    <col min="33" max="33" width="14.42578125" style="10" customWidth="1"/>
    <col min="34" max="35" width="12.5703125" style="10" customWidth="1"/>
    <col min="36" max="16384" width="9.140625" style="10"/>
  </cols>
  <sheetData>
    <row r="1" spans="1:35" x14ac:dyDescent="0.25">
      <c r="A1" s="31">
        <v>1</v>
      </c>
      <c r="B1" s="9" t="s">
        <v>67</v>
      </c>
      <c r="C1" s="9">
        <f>VLOOKUP(A1,$A$7:$B$18,2,0)</f>
        <v>2020</v>
      </c>
      <c r="X1" s="11" t="str">
        <f ca="1">_xlfn.CONCAT("Requisições - ",$D$4)</f>
        <v>Requisições - 2020</v>
      </c>
      <c r="Y1" s="16">
        <f ca="1">SUMIFS(tbControle[Qtde ReqC],tbControle[Ano Trans.],$D$4)</f>
        <v>27.000000000000036</v>
      </c>
      <c r="Z1" s="9"/>
      <c r="AA1" s="9"/>
      <c r="AB1" s="9" t="str">
        <f ca="1">_xlfn.CONCAT("TotalCompras - ",$D$4-1)</f>
        <v>TotalCompras - 2019</v>
      </c>
      <c r="AC1" s="29">
        <f ca="1">SUMIFS(tbControle[Qtde ReqC],tbControle[Ano Trans.],$D$4-1)</f>
        <v>0</v>
      </c>
      <c r="AG1" s="9" t="s">
        <v>40</v>
      </c>
      <c r="AH1" s="9" t="s">
        <v>41</v>
      </c>
      <c r="AI1" s="9" t="s">
        <v>42</v>
      </c>
    </row>
    <row r="2" spans="1:35" ht="13.5" thickBot="1" x14ac:dyDescent="0.3">
      <c r="V2" s="9" t="s">
        <v>12</v>
      </c>
      <c r="X2" s="11"/>
      <c r="Y2" s="16"/>
      <c r="Z2" s="9"/>
      <c r="AA2" s="9"/>
      <c r="AB2" s="39" t="s">
        <v>66</v>
      </c>
      <c r="AC2" s="13">
        <f ca="1">D4</f>
        <v>2020</v>
      </c>
      <c r="AD2" s="14">
        <f ca="1">AC2-1</f>
        <v>2019</v>
      </c>
      <c r="AE2" s="15"/>
      <c r="AG2" s="16">
        <f ca="1">SUMIFS(tbControle[Qtde ReqC],tbControle[Ano Trans.],$D$4)</f>
        <v>27.000000000000036</v>
      </c>
      <c r="AH2" s="16">
        <f ca="1">SUMIFS(tbControle[Qtde ReqC],tbControle[Ano Trans.],$D$4,tbControle[Status Comprador],"&lt;&gt;"&amp;"Pendente",tbControle[Status Comprador],"&lt;&gt;"&amp;"")</f>
        <v>17.000000000000036</v>
      </c>
      <c r="AI2" s="16">
        <f ca="1">AG2-AH2</f>
        <v>10</v>
      </c>
    </row>
    <row r="3" spans="1:35" ht="15.75" thickTop="1" x14ac:dyDescent="0.25">
      <c r="C3" s="9" t="s">
        <v>13</v>
      </c>
      <c r="D3" s="9" t="s">
        <v>14</v>
      </c>
      <c r="E3" s="9" t="s">
        <v>15</v>
      </c>
      <c r="V3" s="9">
        <f ca="1">Y3+ROW(Y3)/1000000</f>
        <v>13.000002999999996</v>
      </c>
      <c r="W3" s="10">
        <f ca="1">_xlfn.RANK.EQ(V3,$V$3:$V$6,0)</f>
        <v>1</v>
      </c>
      <c r="X3" s="11" t="s">
        <v>7</v>
      </c>
      <c r="Y3" s="16">
        <f ca="1">SUMIFS(tbControle[Qtde ReqC],tbControle[Status Comprador],X3,tbControle[Ano Trans.],$D$4)</f>
        <v>12.999999999999996</v>
      </c>
      <c r="Z3" s="17">
        <f ca="1">IFERROR(IF(Y3="","",Y3/$Y$1),0)</f>
        <v>0.48148148148148073</v>
      </c>
      <c r="AA3" s="18">
        <v>1</v>
      </c>
      <c r="AB3" s="19" t="s">
        <v>30</v>
      </c>
      <c r="AC3" s="34">
        <f ca="1">$Y$1</f>
        <v>27.000000000000036</v>
      </c>
      <c r="AD3" s="35">
        <f ca="1">$AC$1</f>
        <v>0</v>
      </c>
      <c r="AE3" s="20">
        <f ca="1">IFERROR(IF(AND(AC3=0,AD3=0),"",IF(AD3=0,1,AC3/AD3-1)),1)</f>
        <v>1</v>
      </c>
      <c r="AG3" s="9"/>
      <c r="AH3" s="9"/>
      <c r="AI3" s="9"/>
    </row>
    <row r="4" spans="1:35" ht="15" x14ac:dyDescent="0.25">
      <c r="C4" s="21">
        <f ca="1">TODAY()</f>
        <v>44040</v>
      </c>
      <c r="D4" s="9">
        <f ca="1">IF(YEAR(C4)=C1,YEAR(C4),C1)</f>
        <v>2020</v>
      </c>
      <c r="E4" s="9">
        <f ca="1">IF(C1&gt;D4,12,MONTH(C4))</f>
        <v>7</v>
      </c>
      <c r="V4" s="9">
        <f t="shared" ref="V4:V6" ca="1" si="0">Y4+ROW(Y4)/1000000</f>
        <v>2.0000040000000001</v>
      </c>
      <c r="W4" s="10">
        <f t="shared" ref="W4:W6" ca="1" si="1">_xlfn.RANK.EQ(V4,$V$3:$V$6,0)</f>
        <v>4</v>
      </c>
      <c r="X4" s="11" t="s">
        <v>8</v>
      </c>
      <c r="Y4" s="16">
        <f ca="1">SUMIFS(tbControle[Qtde ReqC],tbControle[Status Comprador],X4,tbControle[Ano Trans.],$D$4)</f>
        <v>2</v>
      </c>
      <c r="Z4" s="17">
        <f ca="1">IFERROR(IF(Y4="","",Y4/$Y$1),0)</f>
        <v>7.4074074074073973E-2</v>
      </c>
      <c r="AA4" s="18">
        <v>1</v>
      </c>
      <c r="AB4" s="19" t="s">
        <v>7</v>
      </c>
      <c r="AC4" s="22">
        <f ca="1">SUMIFS(tbControle[Qtde ReqC],tbControle[Status Comprador],X3,tbControle[Ano Trans.],$AC$2)</f>
        <v>12.999999999999996</v>
      </c>
      <c r="AD4" s="36">
        <f ca="1">SUMIFS(tbControle[Qtde ReqC],tbControle[Status Comprador],X3,tbControle[Ano Trans.],$AD$2)</f>
        <v>0</v>
      </c>
      <c r="AE4" s="23">
        <f t="shared" ref="AE4:AE7" ca="1" si="2">IFERROR(IF(AND(AC4=0,AD4=0),"",IF(AD4=0,1,AC4/AD4-1)),1)</f>
        <v>1</v>
      </c>
      <c r="AG4" s="9" t="s">
        <v>43</v>
      </c>
      <c r="AH4" s="9"/>
      <c r="AI4" s="9"/>
    </row>
    <row r="5" spans="1:35" ht="15" x14ac:dyDescent="0.25">
      <c r="C5" s="21"/>
      <c r="V5" s="9">
        <f t="shared" ca="1" si="0"/>
        <v>10.000005</v>
      </c>
      <c r="W5" s="10">
        <f t="shared" ca="1" si="1"/>
        <v>2</v>
      </c>
      <c r="X5" s="11" t="s">
        <v>11</v>
      </c>
      <c r="Y5" s="16">
        <f ca="1">SUMIFS(tbControle[Qtde ReqC],tbControle[Status Comprador],X5,tbControle[Ano Trans.],$D$4)</f>
        <v>10</v>
      </c>
      <c r="Z5" s="17">
        <f ca="1">IFERROR(IF(Y5="","",Y5/$Y$1),0)</f>
        <v>0.37037037037036991</v>
      </c>
      <c r="AA5" s="18">
        <v>1</v>
      </c>
      <c r="AB5" s="24" t="s">
        <v>8</v>
      </c>
      <c r="AC5" s="27">
        <f ca="1">SUMIFS(tbControle[Qtde ReqC],tbControle[Status Comprador],X4,tbControle[Ano Trans.],$AC$2)</f>
        <v>2</v>
      </c>
      <c r="AD5" s="28">
        <f ca="1">SUMIFS(tbControle[Qtde ReqC],tbControle[Status Comprador],X4,tbControle[Ano Trans.],$AD$2)</f>
        <v>0</v>
      </c>
      <c r="AE5" s="25">
        <f t="shared" ca="1" si="2"/>
        <v>1</v>
      </c>
      <c r="AG5" s="16">
        <f ca="1">IFERROR(SUMIFS(tbControle[Aging Fracion.],tbControle[Ano Trans.],$D$4)/$AG$2,0)</f>
        <v>29.18518518518518</v>
      </c>
      <c r="AH5" s="9"/>
      <c r="AI5" s="9"/>
    </row>
    <row r="6" spans="1:35" ht="15" x14ac:dyDescent="0.25">
      <c r="C6" s="21"/>
      <c r="E6" s="26" t="s">
        <v>45</v>
      </c>
      <c r="F6" s="26"/>
      <c r="G6" s="26"/>
      <c r="H6" s="26"/>
      <c r="I6" s="26"/>
      <c r="J6" s="26"/>
      <c r="K6" s="26"/>
      <c r="L6" s="26"/>
      <c r="M6" s="26"/>
      <c r="N6" s="26"/>
      <c r="O6" s="26"/>
      <c r="P6" s="26"/>
      <c r="Q6" s="26"/>
      <c r="R6" s="26"/>
      <c r="V6" s="9">
        <f t="shared" ca="1" si="0"/>
        <v>2.000006000000039</v>
      </c>
      <c r="W6" s="10">
        <f t="shared" ca="1" si="1"/>
        <v>3</v>
      </c>
      <c r="X6" s="11" t="s">
        <v>16</v>
      </c>
      <c r="Y6" s="16">
        <f ca="1">$Y$1-(SUM(Y3:Y5))</f>
        <v>2.0000000000000391</v>
      </c>
      <c r="Z6" s="17">
        <f ca="1">IFERROR(IF(Y6="","",Y6/$Y$1),0)</f>
        <v>7.407407407407543E-2</v>
      </c>
      <c r="AA6" s="18">
        <v>1</v>
      </c>
      <c r="AB6" s="24" t="s">
        <v>11</v>
      </c>
      <c r="AC6" s="27">
        <f ca="1">SUMIFS(tbControle[Qtde ReqC],tbControle[Status Comprador],X5,tbControle[Ano Trans.],$AC$2)</f>
        <v>10</v>
      </c>
      <c r="AD6" s="28">
        <f ca="1">SUMIFS(tbControle[Qtde ReqC],tbControle[Status Comprador],X5,tbControle[Ano Trans.],$AD$2)</f>
        <v>0</v>
      </c>
      <c r="AE6" s="25">
        <f t="shared" ca="1" si="2"/>
        <v>1</v>
      </c>
      <c r="AG6" s="9"/>
      <c r="AH6" s="9"/>
      <c r="AI6" s="9"/>
    </row>
    <row r="7" spans="1:35" ht="15" x14ac:dyDescent="0.25">
      <c r="A7" s="10">
        <v>1</v>
      </c>
      <c r="B7" s="9">
        <v>2020</v>
      </c>
      <c r="F7" s="26"/>
      <c r="G7" s="26"/>
      <c r="H7" s="26"/>
      <c r="I7" s="26"/>
      <c r="J7" s="26"/>
      <c r="K7" s="26"/>
      <c r="L7" s="26"/>
      <c r="M7" s="26"/>
      <c r="N7" s="26"/>
      <c r="O7" s="26"/>
      <c r="P7" s="26"/>
      <c r="Q7" s="26"/>
      <c r="Y7" s="29"/>
      <c r="AB7" s="24" t="s">
        <v>16</v>
      </c>
      <c r="AC7" s="27">
        <f ca="1">$Y$1-(SUM($AC$4:$AC$6))</f>
        <v>2.0000000000000391</v>
      </c>
      <c r="AD7" s="28">
        <f ca="1">$AC$1-(SUM($AD$4:$AD$6))</f>
        <v>0</v>
      </c>
      <c r="AE7" s="25">
        <f t="shared" ca="1" si="2"/>
        <v>1</v>
      </c>
      <c r="AG7" s="9"/>
      <c r="AH7" s="16"/>
      <c r="AI7" s="9"/>
    </row>
    <row r="8" spans="1:35" x14ac:dyDescent="0.25">
      <c r="A8" s="10">
        <v>2</v>
      </c>
      <c r="B8" s="9">
        <v>2021</v>
      </c>
      <c r="E8" s="9" t="s">
        <v>17</v>
      </c>
      <c r="F8" s="9" t="s">
        <v>18</v>
      </c>
      <c r="G8" s="9" t="s">
        <v>19</v>
      </c>
      <c r="H8" s="9" t="s">
        <v>20</v>
      </c>
      <c r="I8" s="9" t="s">
        <v>21</v>
      </c>
      <c r="J8" s="9" t="s">
        <v>22</v>
      </c>
      <c r="K8" s="9" t="s">
        <v>23</v>
      </c>
      <c r="L8" s="9" t="s">
        <v>24</v>
      </c>
      <c r="M8" s="9" t="s">
        <v>25</v>
      </c>
      <c r="N8" s="9" t="s">
        <v>26</v>
      </c>
      <c r="O8" s="9" t="s">
        <v>27</v>
      </c>
      <c r="P8" s="9" t="s">
        <v>28</v>
      </c>
      <c r="Q8" s="9" t="s">
        <v>29</v>
      </c>
      <c r="R8" s="9" t="s">
        <v>30</v>
      </c>
      <c r="S8" s="9" t="s">
        <v>31</v>
      </c>
      <c r="T8" s="9" t="s">
        <v>32</v>
      </c>
      <c r="W8" s="10">
        <v>1</v>
      </c>
      <c r="X8" s="10" t="str">
        <f ca="1">VLOOKUP(W8,$W$3:$X$6,2,0)</f>
        <v>Concluído</v>
      </c>
      <c r="Y8" s="16">
        <f ca="1">VLOOKUP(W8,$W$3:$Y$6,3,0)</f>
        <v>12.999999999999996</v>
      </c>
      <c r="AG8" s="9" t="s">
        <v>65</v>
      </c>
      <c r="AH8" s="9" t="s">
        <v>63</v>
      </c>
      <c r="AI8" s="9" t="s">
        <v>64</v>
      </c>
    </row>
    <row r="9" spans="1:35" ht="15" x14ac:dyDescent="0.25">
      <c r="A9" s="10">
        <v>3</v>
      </c>
      <c r="B9" s="9">
        <v>2022</v>
      </c>
      <c r="D9" s="9">
        <f ca="1">D4</f>
        <v>2020</v>
      </c>
      <c r="E9" s="16">
        <f ca="1">IF(E4&gt;=1,SUMIFS(tbControle[Qtde ReqC],tbControle[Ano Trans.],$D$9,tbControle[Mês Trans.],1),"")</f>
        <v>0</v>
      </c>
      <c r="F9" s="16">
        <f ca="1">IF(E4&gt;=2,SUMIFS(tbControle[Qtde ReqC],tbControle[Ano Trans.],$D$9,tbControle[Mês Trans.],2),"")</f>
        <v>0</v>
      </c>
      <c r="G9" s="16">
        <f ca="1">IF(E4&gt;=3,SUMIFS(tbControle[Qtde ReqC],tbControle[Ano Trans.],$D$9,tbControle[Mês Trans.],3),"")</f>
        <v>0</v>
      </c>
      <c r="H9" s="16">
        <f ca="1">IF(E4&gt;=4,SUMIFS(tbControle[Qtde ReqC],tbControle[Ano Trans.],$D$9,tbControle[Mês Trans.],4),"")</f>
        <v>2</v>
      </c>
      <c r="I9" s="16">
        <f ca="1">IF(E4&gt;=5,SUMIFS(tbControle[Qtde ReqC],tbControle[Ano Trans.],$D$9,tbControle[Mês Trans.],5),"")</f>
        <v>10</v>
      </c>
      <c r="J9" s="16">
        <f ca="1">IF(E4&gt;=6,SUMIFS(tbControle[Qtde ReqC],tbControle[Ano Trans.],$D$9,tbControle[Mês Trans.],6),"")</f>
        <v>14.999999999999993</v>
      </c>
      <c r="K9" s="16">
        <f ca="1">IF(E4&gt;=7,SUMIFS(tbControle[Qtde ReqC],tbControle[Ano Trans.],$D$9,tbControle[Mês Trans.],7),"")</f>
        <v>0</v>
      </c>
      <c r="L9" s="16" t="str">
        <f ca="1">IF(E4&gt;=8,SUMIFS(tbControle[Qtde ReqC],tbControle[Ano Trans.],$D$9,tbControle[Mês Trans.],8),"")</f>
        <v/>
      </c>
      <c r="M9" s="16" t="str">
        <f ca="1">IF(E4&gt;=9,SUMIFS(tbControle[Qtde ReqC],tbControle[Ano Trans.],$D$9,tbControle[Mês Trans.],9),"")</f>
        <v/>
      </c>
      <c r="N9" s="16" t="str">
        <f ca="1">IF(E4&gt;=10,SUMIFS(tbControle[Qtde ReqC],tbControle[Ano Trans.],$D$9,tbControle[Mês Trans.],10),"")</f>
        <v/>
      </c>
      <c r="O9" s="16" t="str">
        <f ca="1">IF(E4&gt;=11,SUMIFS(tbControle[Qtde ReqC],tbControle[Ano Trans.],$D$9,tbControle[Mês Trans.],11),"")</f>
        <v/>
      </c>
      <c r="P9" s="16" t="str">
        <f ca="1">IF(E4&gt;=12,SUMIFS(tbControle[Qtde ReqC],tbControle[Ano Trans.],$D$9,tbControle[Mês Trans.],12),"")</f>
        <v/>
      </c>
      <c r="Q9" s="16">
        <f ca="1">AVERAGE(E9:P9)</f>
        <v>3.8571428571428563</v>
      </c>
      <c r="R9" s="16">
        <f ca="1">SUM(E9:P9)</f>
        <v>26.999999999999993</v>
      </c>
      <c r="S9" s="17">
        <f ca="1">IFERROR(IF(R10=0,1,R9/R10-1),0)</f>
        <v>1</v>
      </c>
      <c r="T9" s="17">
        <f ca="1">IFERROR(R9/$Y$1,0)</f>
        <v>0.99999999999999845</v>
      </c>
      <c r="U9" s="17"/>
      <c r="V9" s="17"/>
      <c r="W9" s="10">
        <v>2</v>
      </c>
      <c r="X9" s="10" t="str">
        <f t="shared" ref="X9:X11" ca="1" si="3">VLOOKUP(W9,$W$3:$X$6,2,0)</f>
        <v>Pendente</v>
      </c>
      <c r="Y9" s="16">
        <f t="shared" ref="Y9:Y11" ca="1" si="4">VLOOKUP(W9,$W$3:$Y$6,3,0)</f>
        <v>10</v>
      </c>
      <c r="AG9" s="9">
        <f ca="1">SUMIFS(tbControle[Qtde Exclusivo],tbControle[Ano Trans.],$D$4)</f>
        <v>91</v>
      </c>
      <c r="AH9" s="9">
        <f ca="1">SUMIFS(tbControle[Qtde Exclusivo],tbControle[Ano Trans.],$D$4,tbControle[Status Comprador],"&lt;&gt;"&amp;"Pendente",tbControle[Status Comprador],"&lt;&gt;"&amp;"")</f>
        <v>76</v>
      </c>
      <c r="AI9" s="9">
        <f ca="1">AG9-AH9</f>
        <v>15</v>
      </c>
    </row>
    <row r="10" spans="1:35" ht="15" x14ac:dyDescent="0.25">
      <c r="A10" s="10">
        <v>4</v>
      </c>
      <c r="B10" s="9">
        <v>2023</v>
      </c>
      <c r="D10" s="9">
        <f ca="1">$D$9-1</f>
        <v>2019</v>
      </c>
      <c r="E10" s="16">
        <f ca="1">SUMIFS(tbControle[Qtde ReqC],tbControle[Ano Trans.],$D$10,tbControle[Mês Trans.],1)</f>
        <v>0</v>
      </c>
      <c r="F10" s="16">
        <f ca="1">SUMIFS(tbControle[Qtde ReqC],tbControle[Ano Trans.],$D$10,tbControle[Mês Trans.],2)</f>
        <v>0</v>
      </c>
      <c r="G10" s="16">
        <f ca="1">SUMIFS(tbControle[Qtde ReqC],tbControle[Ano Trans.],$D$10,tbControle[Mês Trans.],3)</f>
        <v>0</v>
      </c>
      <c r="H10" s="16">
        <f ca="1">SUMIFS(tbControle[Qtde ReqC],tbControle[Ano Trans.],$D$10,tbControle[Mês Trans.],4)</f>
        <v>0</v>
      </c>
      <c r="I10" s="16">
        <f ca="1">SUMIFS(tbControle[Qtde ReqC],tbControle[Ano Trans.],$D$10,tbControle[Mês Trans.],5)</f>
        <v>0</v>
      </c>
      <c r="J10" s="16">
        <f ca="1">SUMIFS(tbControle[Qtde ReqC],tbControle[Ano Trans.],$D$10,tbControle[Mês Trans.],6)</f>
        <v>0</v>
      </c>
      <c r="K10" s="16">
        <f ca="1">SUMIFS(tbControle[Qtde ReqC],tbControle[Ano Trans.],$D$10,tbControle[Mês Trans.],7)</f>
        <v>0</v>
      </c>
      <c r="L10" s="16">
        <f ca="1">SUMIFS(tbControle[Qtde ReqC],tbControle[Ano Trans.],$D$10,tbControle[Mês Trans.],8)</f>
        <v>0</v>
      </c>
      <c r="M10" s="16">
        <f ca="1">SUMIFS(tbControle[Qtde ReqC],tbControle[Ano Trans.],$D$10,tbControle[Mês Trans.],9)</f>
        <v>0</v>
      </c>
      <c r="N10" s="16">
        <f ca="1">SUMIFS(tbControle[Qtde ReqC],tbControle[Ano Trans.],$D$10,tbControle[Mês Trans.],10)</f>
        <v>0</v>
      </c>
      <c r="O10" s="16">
        <f ca="1">SUMIFS(tbControle[Qtde ReqC],tbControle[Ano Trans.],$D$10,tbControle[Mês Trans.],11)</f>
        <v>0</v>
      </c>
      <c r="P10" s="16">
        <f ca="1">SUMIFS(tbControle[Qtde ReqC],tbControle[Ano Trans.],$D$10,tbControle[Mês Trans.],12)</f>
        <v>0</v>
      </c>
      <c r="Q10" s="33">
        <f ca="1">AVERAGE(E10:P10)</f>
        <v>0</v>
      </c>
      <c r="R10" s="16">
        <f ca="1">SUM(E10:P10)</f>
        <v>0</v>
      </c>
      <c r="S10" s="17"/>
      <c r="T10" s="17">
        <f ca="1">IFERROR(R10/$Y$1,0)</f>
        <v>0</v>
      </c>
      <c r="U10" s="17"/>
      <c r="V10" s="17"/>
      <c r="W10" s="10">
        <v>3</v>
      </c>
      <c r="X10" s="10" t="str">
        <f t="shared" ca="1" si="3"/>
        <v>Outros</v>
      </c>
      <c r="Y10" s="16">
        <f t="shared" ca="1" si="4"/>
        <v>2.0000000000000391</v>
      </c>
      <c r="AG10" s="9"/>
      <c r="AH10" s="9"/>
      <c r="AI10" s="9"/>
    </row>
    <row r="11" spans="1:35" x14ac:dyDescent="0.25">
      <c r="A11" s="10">
        <v>5</v>
      </c>
      <c r="B11" s="9">
        <v>2024</v>
      </c>
      <c r="D11" s="9" t="s">
        <v>33</v>
      </c>
      <c r="E11" s="16">
        <f>SUMIFS(tbControle[Qtde ReqC],tbControle[Mês Trans.],1)</f>
        <v>0</v>
      </c>
      <c r="F11" s="16">
        <f>SUMIFS(tbControle[Qtde ReqC],tbControle[Mês Trans.],2)</f>
        <v>0</v>
      </c>
      <c r="G11" s="16">
        <f>SUMIFS(tbControle[Qtde ReqC],tbControle[Mês Trans.],3)</f>
        <v>0</v>
      </c>
      <c r="H11" s="16">
        <f>SUMIFS(tbControle[Qtde ReqC],tbControle[Mês Trans.],4)</f>
        <v>2</v>
      </c>
      <c r="I11" s="16">
        <f>SUMIFS(tbControle[Qtde ReqC],tbControle[Mês Trans.],5)</f>
        <v>10</v>
      </c>
      <c r="J11" s="16">
        <f>SUMIFS(tbControle[Qtde ReqC],tbControle[Mês Trans.],6)</f>
        <v>14.999999999999993</v>
      </c>
      <c r="K11" s="16">
        <f>SUMIFS(tbControle[Qtde ReqC],tbControle[Mês Trans.],7)</f>
        <v>0</v>
      </c>
      <c r="L11" s="16">
        <f>SUMIFS(tbControle[Qtde ReqC],tbControle[Mês Trans.],8)</f>
        <v>0</v>
      </c>
      <c r="M11" s="16">
        <f>SUMIFS(tbControle[Qtde ReqC],tbControle[Mês Trans.],9)</f>
        <v>0</v>
      </c>
      <c r="N11" s="16">
        <f>SUMIFS(tbControle[Qtde ReqC],tbControle[Mês Trans.],10)</f>
        <v>0</v>
      </c>
      <c r="O11" s="16">
        <f>SUMIFS(tbControle[Qtde ReqC],tbControle[Mês Trans.],11)</f>
        <v>0</v>
      </c>
      <c r="P11" s="16">
        <f>SUMIFS(tbControle[Qtde ReqC],tbControle[Mês Trans.],12)</f>
        <v>0</v>
      </c>
      <c r="Q11" s="16">
        <f>AVERAGE(E11:P11)</f>
        <v>2.2499999999999996</v>
      </c>
      <c r="R11" s="16">
        <f>SUM(E11:P11)</f>
        <v>26.999999999999993</v>
      </c>
      <c r="W11" s="10">
        <v>4</v>
      </c>
      <c r="X11" s="10" t="str">
        <f t="shared" ca="1" si="3"/>
        <v>Em andamento</v>
      </c>
      <c r="Y11" s="16">
        <f t="shared" ca="1" si="4"/>
        <v>2</v>
      </c>
      <c r="AG11" s="9" t="s">
        <v>43</v>
      </c>
      <c r="AH11" s="9"/>
      <c r="AI11" s="9"/>
    </row>
    <row r="12" spans="1:35" x14ac:dyDescent="0.25">
      <c r="A12" s="10">
        <v>6</v>
      </c>
      <c r="B12" s="9">
        <v>2025</v>
      </c>
      <c r="D12" s="9" t="s">
        <v>29</v>
      </c>
      <c r="E12" s="16">
        <f>$Q$11</f>
        <v>2.2499999999999996</v>
      </c>
      <c r="F12" s="16">
        <f t="shared" ref="F12:P12" si="5">$Q$11</f>
        <v>2.2499999999999996</v>
      </c>
      <c r="G12" s="16">
        <f t="shared" si="5"/>
        <v>2.2499999999999996</v>
      </c>
      <c r="H12" s="16">
        <f t="shared" si="5"/>
        <v>2.2499999999999996</v>
      </c>
      <c r="I12" s="16">
        <f t="shared" si="5"/>
        <v>2.2499999999999996</v>
      </c>
      <c r="J12" s="16">
        <f t="shared" si="5"/>
        <v>2.2499999999999996</v>
      </c>
      <c r="K12" s="16">
        <f t="shared" si="5"/>
        <v>2.2499999999999996</v>
      </c>
      <c r="L12" s="16">
        <f t="shared" si="5"/>
        <v>2.2499999999999996</v>
      </c>
      <c r="M12" s="16">
        <f t="shared" si="5"/>
        <v>2.2499999999999996</v>
      </c>
      <c r="N12" s="16">
        <f t="shared" si="5"/>
        <v>2.2499999999999996</v>
      </c>
      <c r="O12" s="16">
        <f t="shared" si="5"/>
        <v>2.2499999999999996</v>
      </c>
      <c r="P12" s="16">
        <f t="shared" si="5"/>
        <v>2.2499999999999996</v>
      </c>
      <c r="AG12" s="16">
        <f ca="1">IFERROR(SUMIFS(tbControle[Aging Fracion.],tbControle[Ano Trans.],$D$4)/$AG$9,0)</f>
        <v>8.6593406593406694</v>
      </c>
      <c r="AH12" s="9"/>
      <c r="AI12" s="9"/>
    </row>
    <row r="13" spans="1:35" x14ac:dyDescent="0.25">
      <c r="A13" s="10">
        <v>7</v>
      </c>
      <c r="B13" s="9">
        <v>2026</v>
      </c>
      <c r="D13" s="9" t="s">
        <v>34</v>
      </c>
      <c r="E13" s="16" t="e">
        <f>IF(E11="","",IF(E11=LARGE($E$11:$P$11,1),E11,NA()))</f>
        <v>#N/A</v>
      </c>
      <c r="F13" s="16" t="e">
        <f t="shared" ref="F13:P13" si="6">IF(F11="","",IF(F11=LARGE($E$11:$P$11,1),F11,NA()))</f>
        <v>#N/A</v>
      </c>
      <c r="G13" s="16" t="e">
        <f t="shared" si="6"/>
        <v>#N/A</v>
      </c>
      <c r="H13" s="16" t="e">
        <f t="shared" si="6"/>
        <v>#N/A</v>
      </c>
      <c r="I13" s="16" t="e">
        <f t="shared" si="6"/>
        <v>#N/A</v>
      </c>
      <c r="J13" s="16">
        <f t="shared" si="6"/>
        <v>14.999999999999993</v>
      </c>
      <c r="K13" s="16" t="e">
        <f t="shared" si="6"/>
        <v>#N/A</v>
      </c>
      <c r="L13" s="16" t="e">
        <f t="shared" si="6"/>
        <v>#N/A</v>
      </c>
      <c r="M13" s="16" t="e">
        <f t="shared" si="6"/>
        <v>#N/A</v>
      </c>
      <c r="N13" s="16" t="e">
        <f t="shared" si="6"/>
        <v>#N/A</v>
      </c>
      <c r="O13" s="16" t="e">
        <f t="shared" si="6"/>
        <v>#N/A</v>
      </c>
      <c r="P13" s="16" t="e">
        <f t="shared" si="6"/>
        <v>#N/A</v>
      </c>
    </row>
    <row r="14" spans="1:35" x14ac:dyDescent="0.25">
      <c r="A14" s="10">
        <v>8</v>
      </c>
      <c r="B14" s="9">
        <v>2027</v>
      </c>
      <c r="E14" s="16"/>
      <c r="F14" s="16"/>
      <c r="G14" s="16"/>
      <c r="H14" s="16"/>
      <c r="I14" s="16"/>
      <c r="J14" s="16"/>
      <c r="K14" s="16"/>
      <c r="L14" s="16"/>
      <c r="M14" s="16"/>
      <c r="N14" s="16"/>
      <c r="O14" s="16"/>
      <c r="P14" s="16"/>
    </row>
    <row r="15" spans="1:35" x14ac:dyDescent="0.25">
      <c r="A15" s="10">
        <v>9</v>
      </c>
      <c r="B15" s="9">
        <v>2028</v>
      </c>
      <c r="E15" s="16"/>
      <c r="F15" s="16"/>
      <c r="G15" s="16"/>
      <c r="H15" s="16"/>
      <c r="I15" s="16"/>
      <c r="J15" s="16"/>
      <c r="K15" s="16"/>
      <c r="L15" s="16"/>
      <c r="M15" s="16"/>
      <c r="N15" s="16"/>
      <c r="O15" s="16"/>
      <c r="P15" s="16"/>
      <c r="AG15" s="38"/>
    </row>
    <row r="16" spans="1:35" x14ac:dyDescent="0.25">
      <c r="A16" s="10">
        <v>10</v>
      </c>
      <c r="B16" s="9">
        <v>2029</v>
      </c>
      <c r="E16" s="26" t="str">
        <f ca="1">CONCATENATE("REQUISIÇÕES ",$D$18)</f>
        <v>REQUISIÇÕES 2020</v>
      </c>
      <c r="F16" s="26"/>
      <c r="G16" s="26"/>
      <c r="H16" s="26"/>
      <c r="I16" s="26"/>
      <c r="J16" s="26"/>
      <c r="K16" s="26"/>
      <c r="L16" s="26"/>
      <c r="M16" s="26"/>
      <c r="N16" s="26"/>
      <c r="O16" s="26"/>
      <c r="P16" s="26"/>
    </row>
    <row r="17" spans="1:16" x14ac:dyDescent="0.25">
      <c r="A17" s="10">
        <v>11</v>
      </c>
      <c r="B17" s="9">
        <v>2030</v>
      </c>
      <c r="E17" s="9" t="s">
        <v>17</v>
      </c>
      <c r="F17" s="9" t="s">
        <v>18</v>
      </c>
      <c r="G17" s="9" t="s">
        <v>19</v>
      </c>
      <c r="H17" s="9" t="s">
        <v>20</v>
      </c>
      <c r="I17" s="9" t="s">
        <v>21</v>
      </c>
      <c r="J17" s="9" t="s">
        <v>22</v>
      </c>
      <c r="K17" s="9" t="s">
        <v>23</v>
      </c>
      <c r="L17" s="9" t="s">
        <v>24</v>
      </c>
      <c r="M17" s="9" t="s">
        <v>25</v>
      </c>
      <c r="N17" s="9" t="s">
        <v>26</v>
      </c>
      <c r="O17" s="9" t="s">
        <v>27</v>
      </c>
      <c r="P17" s="9" t="s">
        <v>28</v>
      </c>
    </row>
    <row r="18" spans="1:16" x14ac:dyDescent="0.25">
      <c r="A18" s="10">
        <v>12</v>
      </c>
      <c r="B18" s="9">
        <v>2031</v>
      </c>
      <c r="D18" s="9">
        <f ca="1">D4</f>
        <v>2020</v>
      </c>
      <c r="E18" s="16">
        <f ca="1">IF($E$4&gt;=1,SUMIFS(tbControle[Qtde ReqC],tbControle[Ano Trans.],$D$18,tbControle[Mês Trans.],1),NA())</f>
        <v>0</v>
      </c>
      <c r="F18" s="16">
        <f ca="1">IF($E$4&gt;=2,SUMIFS(tbControle[Qtde ReqC],tbControle[Ano Trans.],$D$18,tbControle[Mês Trans.],2),NA())</f>
        <v>0</v>
      </c>
      <c r="G18" s="16">
        <f ca="1">IF($E$4&gt;=3,SUMIFS(tbControle[Qtde ReqC],tbControle[Ano Trans.],$D$18,tbControle[Mês Trans.],3),NA())</f>
        <v>0</v>
      </c>
      <c r="H18" s="16">
        <f ca="1">IF($E$4&gt;=4,SUMIFS(tbControle[Qtde ReqC],tbControle[Ano Trans.],$D$18,tbControle[Mês Trans.],4),NA())</f>
        <v>2</v>
      </c>
      <c r="I18" s="16">
        <f ca="1">IF($E$4&gt;=5,SUMIFS(tbControle[Qtde ReqC],tbControle[Ano Trans.],$D$18,tbControle[Mês Trans.],5),NA())</f>
        <v>10</v>
      </c>
      <c r="J18" s="16">
        <f ca="1">IF($E$4&gt;=6,SUMIFS(tbControle[Qtde ReqC],tbControle[Ano Trans.],$D$18,tbControle[Mês Trans.],6),NA())</f>
        <v>14.999999999999993</v>
      </c>
      <c r="K18" s="16">
        <f ca="1">IF($E$4&gt;=7,SUMIFS(tbControle[Qtde ReqC],tbControle[Ano Trans.],$D$18,tbControle[Mês Trans.],7),NA())</f>
        <v>0</v>
      </c>
      <c r="L18" s="16" t="e">
        <f ca="1">IF($E$4&gt;=8,SUMIFS(tbControle[Qtde ReqC],tbControle[Ano Trans.],$D$18,tbControle[Mês Trans.],8),NA())</f>
        <v>#N/A</v>
      </c>
      <c r="M18" s="16" t="e">
        <f ca="1">IF($E$4&gt;=9,SUMIFS(tbControle[Qtde ReqC],tbControle[Ano Trans.],$D$18,tbControle[Mês Trans.],9),NA())</f>
        <v>#N/A</v>
      </c>
      <c r="N18" s="16" t="e">
        <f ca="1">IF($E$4&gt;=10,SUMIFS(tbControle[Qtde ReqC],tbControle[Ano Trans.],$D$18,tbControle[Mês Trans.],10),NA())</f>
        <v>#N/A</v>
      </c>
      <c r="O18" s="16" t="e">
        <f ca="1">IF($E$4&gt;=11,SUMIFS(tbControle[Qtde ReqC],tbControle[Ano Trans.],$D$18,tbControle[Mês Trans.],11),NA())</f>
        <v>#N/A</v>
      </c>
      <c r="P18" s="16" t="e">
        <f ca="1">IF($E$4&gt;=12,SUMIFS(tbControle[Qtde ReqC],tbControle[Ano Trans.],$D$18,tbControle[Mês Trans.],12),NA())</f>
        <v>#N/A</v>
      </c>
    </row>
  </sheetData>
  <sheetProtection algorithmName="SHA-512" hashValue="4f804d86+fv7LLCQ0cAlBHZLumUgrvo7g/vcJsdtOEk9wyAl8Jca2qRJu9McZlpnNMpOv9kJwsnoqWFNJDd1yA==" saltValue="DOkYNlzYzBhBbqRPQq6usg==" spinCount="100000" sheet="1" objects="1" scenarios="1" selectLockedCells="1" selectUnlockedCells="1"/>
  <phoneticPr fontId="10" type="noConversion"/>
  <pageMargins left="0.511811024" right="0.511811024" top="0.78740157499999996" bottom="0.78740157499999996" header="0.31496062000000002" footer="0.31496062000000002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107B0F2B-F527-4E0E-950C-137B99C8EFBF}">
            <x14:iconSet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Arrows" iconId="0"/>
              <x14:cfIcon iconSet="3TrafficLights1" iconId="1"/>
              <x14:cfIcon iconSet="3Arrows" iconId="2"/>
            </x14:iconSet>
          </x14:cfRule>
          <xm:sqref>AE3:AE7</xm:sqref>
        </x14:conditionalFormatting>
        <x14:conditionalFormatting xmlns:xm="http://schemas.microsoft.com/office/excel/2006/main">
          <x14:cfRule type="iconSet" priority="2" id="{2A2A4A4F-4F91-4468-A149-0D542A9E71D7}">
            <x14:iconSet iconSet="3Symbols" custom="1">
              <x14:cfvo type="percent">
                <xm:f>0</xm:f>
              </x14:cfvo>
              <x14:cfvo type="num" gte="0">
                <xm:f>0</xm:f>
              </x14:cfvo>
              <x14:cfvo type="num">
                <xm:f>0</xm:f>
              </x14:cfvo>
              <x14:cfIcon iconSet="3Symbols" iconId="0"/>
              <x14:cfIcon iconSet="3Symbols" iconId="1"/>
              <x14:cfIcon iconSet="3Symbols" iconId="2"/>
            </x14:iconSet>
          </x14:cfRule>
          <xm:sqref>S9:S10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B4C18E-4F34-4524-99B8-667E8D624F4D}">
  <sheetPr codeName="plAnaliseComprador">
    <tabColor theme="0"/>
  </sheetPr>
  <dimension ref="A1:AH18"/>
  <sheetViews>
    <sheetView showGridLines="0" workbookViewId="0"/>
  </sheetViews>
  <sheetFormatPr defaultRowHeight="12.75" x14ac:dyDescent="0.25"/>
  <cols>
    <col min="1" max="1" width="9.140625" style="10"/>
    <col min="2" max="2" width="11" style="9" bestFit="1" customWidth="1"/>
    <col min="3" max="3" width="9.140625" style="9"/>
    <col min="4" max="16" width="9.140625" style="10"/>
    <col min="17" max="17" width="5.28515625" style="9" bestFit="1" customWidth="1"/>
    <col min="18" max="18" width="13.140625" style="10" customWidth="1"/>
    <col min="19" max="19" width="12.140625" style="9" bestFit="1" customWidth="1"/>
    <col min="20" max="21" width="12.140625" style="9" customWidth="1"/>
    <col min="22" max="22" width="9.140625" style="10"/>
    <col min="23" max="23" width="17" style="10" bestFit="1" customWidth="1"/>
    <col min="24" max="26" width="9.140625" style="10"/>
    <col min="27" max="27" width="18.140625" style="10" bestFit="1" customWidth="1"/>
    <col min="28" max="29" width="9.140625" style="10"/>
    <col min="30" max="30" width="12.140625" style="10" bestFit="1" customWidth="1"/>
    <col min="31" max="31" width="9.140625" style="10"/>
    <col min="32" max="34" width="12.5703125" style="10" customWidth="1"/>
    <col min="35" max="16384" width="9.140625" style="10"/>
  </cols>
  <sheetData>
    <row r="1" spans="1:34" x14ac:dyDescent="0.25">
      <c r="A1" s="31">
        <v>1</v>
      </c>
      <c r="B1" s="9" t="s">
        <v>4</v>
      </c>
      <c r="C1" s="26" t="str">
        <f>UPPER(INDEX(tbComprador[],MATCH(A1,tbComprador[ID],0),2))</f>
        <v>COMPRADOR 1</v>
      </c>
      <c r="D1" s="26"/>
      <c r="E1" s="30"/>
      <c r="F1" s="30"/>
      <c r="G1" s="30"/>
      <c r="W1" s="11" t="str">
        <f ca="1">_xlfn.CONCAT("Requisições - ",$C$4)</f>
        <v>Requisições - 2020</v>
      </c>
      <c r="X1" s="16">
        <f ca="1">SUMIFS(tbControle[Qtde ReqC],tbControle[Comprador],$C$1,tbControle[Ano Trans.],$C$4)</f>
        <v>3.9999999999999996</v>
      </c>
      <c r="Y1" s="9"/>
      <c r="Z1" s="9"/>
      <c r="AA1" s="9" t="str">
        <f ca="1">_xlfn.CONCAT("TotalCompras - ",$C$4-1)</f>
        <v>TotalCompras - 2019</v>
      </c>
      <c r="AB1" s="10">
        <f ca="1">SUMIFS(tbControle[Qtde ReqC],tbControle[Comprador],$C$1,tbControle[Ano Trans.],$C$4-1)</f>
        <v>0</v>
      </c>
      <c r="AF1" s="10" t="s">
        <v>40</v>
      </c>
      <c r="AG1" s="10" t="s">
        <v>41</v>
      </c>
      <c r="AH1" s="10" t="s">
        <v>42</v>
      </c>
    </row>
    <row r="2" spans="1:34" ht="13.5" thickBot="1" x14ac:dyDescent="0.3">
      <c r="U2" s="9" t="s">
        <v>12</v>
      </c>
      <c r="W2" s="11"/>
      <c r="X2" s="12"/>
      <c r="Y2" s="9"/>
      <c r="Z2" s="9"/>
      <c r="AA2" s="39" t="s">
        <v>66</v>
      </c>
      <c r="AB2" s="13">
        <f ca="1">C4</f>
        <v>2020</v>
      </c>
      <c r="AC2" s="14">
        <f ca="1">AB2-1</f>
        <v>2019</v>
      </c>
      <c r="AD2" s="15"/>
      <c r="AF2" s="16">
        <f ca="1">SUMIFS(tbControle[Qtde ReqC],tbControle[Comprador],$C$1,tbControle[Ano Trans.],$C$4)</f>
        <v>3.9999999999999996</v>
      </c>
      <c r="AG2" s="16">
        <f ca="1">SUMIFS(tbControle[Qtde ReqC],tbControle[Comprador],$C$1,tbControle[Ano Trans.],$C$4,tbControle[Status Comprador],"&lt;&gt;"&amp;"Pendente")</f>
        <v>2.9999999999999996</v>
      </c>
      <c r="AH2" s="16">
        <f ca="1">SUMIFS(tbControle[Qtde ReqC],tbControle[Comprador],$C$1,tbControle[Ano Trans.],$C$4,tbControle[Status Comprador],"Pendente")</f>
        <v>1</v>
      </c>
    </row>
    <row r="3" spans="1:34" ht="15.75" thickTop="1" x14ac:dyDescent="0.25">
      <c r="B3" s="9" t="s">
        <v>13</v>
      </c>
      <c r="C3" s="9" t="s">
        <v>14</v>
      </c>
      <c r="D3" s="9" t="s">
        <v>15</v>
      </c>
      <c r="U3" s="9">
        <f ca="1">X3+ROW(X3)/1000000</f>
        <v>2.0000029999999995</v>
      </c>
      <c r="V3" s="10">
        <f ca="1">_xlfn.RANK.EQ(U3,$U$3:$U$6,0)</f>
        <v>1</v>
      </c>
      <c r="W3" s="11" t="s">
        <v>7</v>
      </c>
      <c r="X3" s="16">
        <f ca="1">SUMIFS(tbControle[Qtde ReqC],tbControle[Comprador],$C$1,tbControle[Status Comprador],W3,tbControle[Ano Trans.],$C$4)</f>
        <v>1.9999999999999996</v>
      </c>
      <c r="Y3" s="17">
        <f ca="1">IFERROR(IF(X3="","",X3/$X$1),0)</f>
        <v>0.49999999999999994</v>
      </c>
      <c r="Z3" s="18">
        <v>1</v>
      </c>
      <c r="AA3" s="19" t="s">
        <v>30</v>
      </c>
      <c r="AB3" s="34">
        <f ca="1">$X$1</f>
        <v>3.9999999999999996</v>
      </c>
      <c r="AC3" s="35">
        <f ca="1">$AB$1</f>
        <v>0</v>
      </c>
      <c r="AD3" s="20">
        <f ca="1">IFERROR(IF(AND(AB3=0,AC3=0),"",IF(AC3=0,1,AB3/AC3-1)),1)</f>
        <v>1</v>
      </c>
    </row>
    <row r="4" spans="1:34" ht="15" x14ac:dyDescent="0.25">
      <c r="B4" s="21">
        <f ca="1">'Análise Geral'!C4</f>
        <v>44040</v>
      </c>
      <c r="C4" s="9">
        <f ca="1">'Análise Geral'!D4</f>
        <v>2020</v>
      </c>
      <c r="D4" s="9">
        <f ca="1">'Análise Geral'!E4</f>
        <v>7</v>
      </c>
      <c r="U4" s="9">
        <f t="shared" ref="U4:U6" ca="1" si="0">X4+ROW(X4)/1000000</f>
        <v>3.9999999999999998E-6</v>
      </c>
      <c r="V4" s="10">
        <f t="shared" ref="V4:V6" ca="1" si="1">_xlfn.RANK.EQ(U4,$U$3:$U$6,0)</f>
        <v>4</v>
      </c>
      <c r="W4" s="11" t="s">
        <v>8</v>
      </c>
      <c r="X4" s="9">
        <f ca="1">SUMIFS(tbControle[Qtde ReqC],tbControle[Comprador],$C$1,tbControle[Status Comprador],W4,tbControle[Ano Trans.],$C$4)</f>
        <v>0</v>
      </c>
      <c r="Y4" s="17">
        <f ca="1">IFERROR(IF(X4="","",X4/$X$1),0)</f>
        <v>0</v>
      </c>
      <c r="Z4" s="18">
        <v>1</v>
      </c>
      <c r="AA4" s="19" t="s">
        <v>7</v>
      </c>
      <c r="AB4" s="22">
        <f ca="1">SUMIFS(tbControle[Qtde ReqC],tbControle[Comprador],$C$1,tbControle[Status Comprador],W3,tbControle[Ano Trans.],$AB$2)</f>
        <v>1.9999999999999996</v>
      </c>
      <c r="AC4" s="36">
        <f ca="1">SUMIFS(tbControle[Qtde ReqC],tbControle[Comprador],$C$1,tbControle[Status Comprador],W3,tbControle[Ano Trans.],$AC$2)</f>
        <v>0</v>
      </c>
      <c r="AD4" s="23">
        <f t="shared" ref="AD4:AD7" ca="1" si="2">IFERROR(IF(AND(AB4=0,AC4=0),"",IF(AC4=0,1,AB4/AC4-1)),1)</f>
        <v>1</v>
      </c>
      <c r="AF4" s="10" t="s">
        <v>43</v>
      </c>
    </row>
    <row r="5" spans="1:34" ht="15" x14ac:dyDescent="0.25">
      <c r="B5" s="21"/>
      <c r="U5" s="9">
        <f t="shared" ca="1" si="0"/>
        <v>1.000005</v>
      </c>
      <c r="V5" s="10">
        <f t="shared" ca="1" si="1"/>
        <v>3</v>
      </c>
      <c r="W5" s="11" t="s">
        <v>11</v>
      </c>
      <c r="X5" s="9">
        <f ca="1">SUMIFS(tbControle[Qtde ReqC],tbControle[Comprador],$C$1,tbControle[Status Comprador],W5,tbControle[Ano Trans.],$C$4)</f>
        <v>1</v>
      </c>
      <c r="Y5" s="17">
        <f ca="1">IFERROR(IF(X5="","",X5/$X$1),0)</f>
        <v>0.25</v>
      </c>
      <c r="Z5" s="18">
        <v>1</v>
      </c>
      <c r="AA5" s="24" t="s">
        <v>8</v>
      </c>
      <c r="AB5" s="27">
        <f ca="1">SUMIFS(tbControle[Qtde ReqC],tbControle[Comprador],$C$1,tbControle[Status Comprador],W4,tbControle[Ano Trans.],$AB$2)</f>
        <v>0</v>
      </c>
      <c r="AC5" s="28">
        <f ca="1">SUMIFS(tbControle[Qtde ReqC],tbControle[Comprador],$C$1,tbControle[Status Comprador],W4,tbControle[Ano Trans.],$AC$2)</f>
        <v>0</v>
      </c>
      <c r="AD5" s="25" t="str">
        <f t="shared" ca="1" si="2"/>
        <v/>
      </c>
      <c r="AF5" s="16">
        <f ca="1">IFERROR(SUMIFS(tbControle[Aging Fracion.],tbControle[Comprador],$C$1,tbControle[Ano Trans.],$C$4)/$AF$2,0)</f>
        <v>13.500000000000005</v>
      </c>
    </row>
    <row r="6" spans="1:34" ht="15" x14ac:dyDescent="0.25">
      <c r="B6" s="21"/>
      <c r="D6" s="26" t="s">
        <v>45</v>
      </c>
      <c r="E6" s="26"/>
      <c r="F6" s="26"/>
      <c r="G6" s="26"/>
      <c r="H6" s="26"/>
      <c r="I6" s="26"/>
      <c r="J6" s="26"/>
      <c r="K6" s="26"/>
      <c r="L6" s="26"/>
      <c r="M6" s="26"/>
      <c r="N6" s="26"/>
      <c r="O6" s="26"/>
      <c r="P6" s="26"/>
      <c r="Q6" s="26"/>
      <c r="U6" s="9">
        <f t="shared" ca="1" si="0"/>
        <v>1.000006</v>
      </c>
      <c r="V6" s="10">
        <f t="shared" ca="1" si="1"/>
        <v>2</v>
      </c>
      <c r="W6" s="11" t="s">
        <v>16</v>
      </c>
      <c r="X6" s="16">
        <f ca="1">$X$1-(SUM(X3:X5))</f>
        <v>1</v>
      </c>
      <c r="Y6" s="17">
        <f ca="1">IFERROR(IF(X6="","",X6/$X$1),0)</f>
        <v>0.25</v>
      </c>
      <c r="Z6" s="18">
        <v>1</v>
      </c>
      <c r="AA6" s="24" t="s">
        <v>11</v>
      </c>
      <c r="AB6" s="27">
        <f ca="1">SUMIFS(tbControle[Qtde ReqC],tbControle[Comprador],$C$1,tbControle[Status Comprador],W5,tbControle[Ano Trans.],$AB$2)</f>
        <v>1</v>
      </c>
      <c r="AC6" s="28">
        <f ca="1">SUMIFS(tbControle[Qtde ReqC],tbControle[Comprador],$C$1,tbControle[Status Comprador],W5,tbControle[Ano Trans.],$AC$2)</f>
        <v>0</v>
      </c>
      <c r="AD6" s="25">
        <f t="shared" ca="1" si="2"/>
        <v>1</v>
      </c>
    </row>
    <row r="7" spans="1:34" ht="15" x14ac:dyDescent="0.25">
      <c r="E7" s="26"/>
      <c r="F7" s="26"/>
      <c r="G7" s="26"/>
      <c r="H7" s="26"/>
      <c r="I7" s="26"/>
      <c r="J7" s="26"/>
      <c r="K7" s="26"/>
      <c r="L7" s="26"/>
      <c r="M7" s="26"/>
      <c r="N7" s="26"/>
      <c r="O7" s="26"/>
      <c r="P7" s="26"/>
      <c r="AA7" s="24" t="s">
        <v>16</v>
      </c>
      <c r="AB7" s="27">
        <f ca="1">$X$1-(SUM($AB$4:$AB$6))</f>
        <v>1</v>
      </c>
      <c r="AC7" s="28">
        <f ca="1">$AB$1-(SUM($AC$4:$AC$6))</f>
        <v>0</v>
      </c>
      <c r="AD7" s="25">
        <f t="shared" ca="1" si="2"/>
        <v>1</v>
      </c>
      <c r="AG7" s="29"/>
    </row>
    <row r="8" spans="1:34" x14ac:dyDescent="0.25">
      <c r="D8" s="9" t="s">
        <v>17</v>
      </c>
      <c r="E8" s="9" t="s">
        <v>18</v>
      </c>
      <c r="F8" s="9" t="s">
        <v>19</v>
      </c>
      <c r="G8" s="9" t="s">
        <v>20</v>
      </c>
      <c r="H8" s="9" t="s">
        <v>21</v>
      </c>
      <c r="I8" s="9" t="s">
        <v>22</v>
      </c>
      <c r="J8" s="9" t="s">
        <v>23</v>
      </c>
      <c r="K8" s="9" t="s">
        <v>24</v>
      </c>
      <c r="L8" s="9" t="s">
        <v>25</v>
      </c>
      <c r="M8" s="9" t="s">
        <v>26</v>
      </c>
      <c r="N8" s="9" t="s">
        <v>27</v>
      </c>
      <c r="O8" s="9" t="s">
        <v>28</v>
      </c>
      <c r="P8" s="9" t="s">
        <v>29</v>
      </c>
      <c r="Q8" s="9" t="s">
        <v>30</v>
      </c>
      <c r="R8" s="9" t="s">
        <v>31</v>
      </c>
      <c r="S8" s="9" t="s">
        <v>32</v>
      </c>
      <c r="V8" s="10">
        <v>1</v>
      </c>
      <c r="W8" s="10" t="str">
        <f ca="1">VLOOKUP(V8,$V$3:$W$6,2,0)</f>
        <v>Concluído</v>
      </c>
      <c r="X8" s="16">
        <f ca="1">VLOOKUP(V8,$V$3:$X$6,3,0)</f>
        <v>1.9999999999999996</v>
      </c>
      <c r="AF8" s="9" t="s">
        <v>65</v>
      </c>
      <c r="AG8" s="9" t="s">
        <v>63</v>
      </c>
      <c r="AH8" s="9" t="s">
        <v>64</v>
      </c>
    </row>
    <row r="9" spans="1:34" ht="15" x14ac:dyDescent="0.25">
      <c r="C9" s="9">
        <f ca="1">C4</f>
        <v>2020</v>
      </c>
      <c r="D9" s="16">
        <f ca="1">IF(D4&gt;=1,SUMIFS(tbControle[Qtde ReqC],tbControle[Comprador],$C$1,tbControle[Ano Trans.],$C$9,tbControle[Mês Trans.],1),"")</f>
        <v>0</v>
      </c>
      <c r="E9" s="16">
        <f ca="1">IF(D4&gt;=2,SUMIFS(tbControle[Qtde ReqC],tbControle[Comprador],$C$1,tbControle[Ano Trans.],$C$9,tbControle[Mês Trans.],2),"")</f>
        <v>0</v>
      </c>
      <c r="F9" s="16">
        <f ca="1">IF(D4&gt;=3,SUMIFS(tbControle[Qtde ReqC],tbControle[Comprador],$C$1,tbControle[Ano Trans.],$C$9,tbControle[Mês Trans.],3),"")</f>
        <v>0</v>
      </c>
      <c r="G9" s="16">
        <f ca="1">IF(D4&gt;=4,SUMIFS(tbControle[Qtde ReqC],tbControle[Comprador],$C$1,tbControle[Ano Trans.],$C$9,tbControle[Mês Trans.],4),"")</f>
        <v>0</v>
      </c>
      <c r="H9" s="16">
        <f ca="1">IF(D4&gt;=5,SUMIFS(tbControle[Qtde ReqC],tbControle[Comprador],$C$1,tbControle[Ano Trans.],$C$9,tbControle[Mês Trans.],5),"")</f>
        <v>2</v>
      </c>
      <c r="I9" s="16">
        <f ca="1">IF(D4&gt;=6,SUMIFS(tbControle[Qtde ReqC],tbControle[Comprador],$C$1,tbControle[Ano Trans.],$C$9,tbControle[Mês Trans.],6),"")</f>
        <v>1.9999999999999996</v>
      </c>
      <c r="J9" s="16">
        <f ca="1">IF(D4&gt;=7,SUMIFS(tbControle[Qtde ReqC],tbControle[Comprador],$C$1,tbControle[Ano Trans.],$C$9,tbControle[Mês Trans.],7),"")</f>
        <v>0</v>
      </c>
      <c r="K9" s="16" t="str">
        <f ca="1">IF(D4&gt;=8,SUMIFS(tbControle[Qtde ReqC],tbControle[Comprador],$C$1,tbControle[Ano Trans.],$C$9,tbControle[Mês Trans.],8),"")</f>
        <v/>
      </c>
      <c r="L9" s="16" t="str">
        <f ca="1">IF(D4&gt;=9,SUMIFS(tbControle[Qtde ReqC],tbControle[Comprador],$C$1,tbControle[Ano Trans.],$C$9,tbControle[Mês Trans.],9),"")</f>
        <v/>
      </c>
      <c r="M9" s="16" t="str">
        <f ca="1">IF(D4&gt;=10,SUMIFS(tbControle[Qtde ReqC],tbControle[Comprador],$C$1,tbControle[Ano Trans.],$C$9,tbControle[Mês Trans.],10),"")</f>
        <v/>
      </c>
      <c r="N9" s="16" t="str">
        <f ca="1">IF(D4&gt;=11,SUMIFS(tbControle[Qtde ReqC],tbControle[Comprador],$C$1,tbControle[Ano Trans.],$C$9,tbControle[Mês Trans.],11),"")</f>
        <v/>
      </c>
      <c r="O9" s="16" t="str">
        <f ca="1">IF(D4&gt;=12,SUMIFS(tbControle[Qtde ReqC],tbControle[Comprador],$C$1,tbControle[Ano Trans.],$C$9,tbControle[Mês Trans.],12),"")</f>
        <v/>
      </c>
      <c r="P9" s="16">
        <f ca="1">AVERAGE(D9:O9)</f>
        <v>0.5714285714285714</v>
      </c>
      <c r="Q9" s="16">
        <f ca="1">SUM(D9:O9)</f>
        <v>3.9999999999999996</v>
      </c>
      <c r="R9" s="17">
        <f ca="1">IFERROR(IF(Q10=0,1,Q9/Q10-1),0)</f>
        <v>1</v>
      </c>
      <c r="S9" s="17">
        <f ca="1">IFERROR(Q9/$X$1,0)</f>
        <v>1</v>
      </c>
      <c r="T9" s="17"/>
      <c r="U9" s="17"/>
      <c r="V9" s="10">
        <v>2</v>
      </c>
      <c r="W9" s="10" t="str">
        <f t="shared" ref="W9:W11" ca="1" si="3">VLOOKUP(V9,$V$3:$W$6,2,0)</f>
        <v>Outros</v>
      </c>
      <c r="X9" s="16">
        <f t="shared" ref="X9:X11" ca="1" si="4">VLOOKUP(V9,$V$3:$X$6,3,0)</f>
        <v>1</v>
      </c>
      <c r="AF9" s="9">
        <f ca="1">SUMIFS(tbControle[Qtde Exclusivo],tbControle[Comprador],$C$1,tbControle[Ano Trans.],$C$4)</f>
        <v>13</v>
      </c>
      <c r="AG9" s="9">
        <f ca="1">SUMIFS(tbControle[Qtde Exclusivo],tbControle[Comprador],$C$1,tbControle[Ano Trans.],$C$4,tbControle[Status Comprador],"&lt;&gt;"&amp;"Pendente",tbControle[Status Comprador],"&lt;&gt;"&amp;"")</f>
        <v>9</v>
      </c>
      <c r="AH9" s="9">
        <f ca="1">AF9-AG9</f>
        <v>4</v>
      </c>
    </row>
    <row r="10" spans="1:34" ht="15" x14ac:dyDescent="0.25">
      <c r="C10" s="9">
        <f ca="1">$C$9-1</f>
        <v>2019</v>
      </c>
      <c r="D10" s="16">
        <f ca="1">SUMIFS(tbControle[Qtde ReqC],tbControle[Comprador],$C$1,tbControle[Ano Trans.],$C$10,tbControle[Mês Trans.],1)</f>
        <v>0</v>
      </c>
      <c r="E10" s="16">
        <f ca="1">SUMIFS(tbControle[Qtde ReqC],tbControle[Comprador],$C$1,tbControle[Ano Trans.],$C$10,tbControle[Mês Trans.],2)</f>
        <v>0</v>
      </c>
      <c r="F10" s="16">
        <f ca="1">SUMIFS(tbControle[Qtde ReqC],tbControle[Comprador],$C$1,tbControle[Ano Trans.],$C$10,tbControle[Mês Trans.],3)</f>
        <v>0</v>
      </c>
      <c r="G10" s="16">
        <f ca="1">SUMIFS(tbControle[Qtde ReqC],tbControle[Comprador],$C$1,tbControle[Ano Trans.],$C$10,tbControle[Mês Trans.],4)</f>
        <v>0</v>
      </c>
      <c r="H10" s="16">
        <f ca="1">SUMIFS(tbControle[Qtde ReqC],tbControle[Comprador],$C$1,tbControle[Ano Trans.],$C$10,tbControle[Mês Trans.],5)</f>
        <v>0</v>
      </c>
      <c r="I10" s="16">
        <f ca="1">SUMIFS(tbControle[Qtde ReqC],tbControle[Comprador],$C$1,tbControle[Ano Trans.],$C$10,tbControle[Mês Trans.],6)</f>
        <v>0</v>
      </c>
      <c r="J10" s="16">
        <f ca="1">SUMIFS(tbControle[Qtde ReqC],tbControle[Comprador],$C$1,tbControle[Ano Trans.],$C$10,tbControle[Mês Trans.],7)</f>
        <v>0</v>
      </c>
      <c r="K10" s="16">
        <f ca="1">SUMIFS(tbControle[Qtde ReqC],tbControle[Comprador],$C$1,tbControle[Ano Trans.],$C$10,tbControle[Mês Trans.],8)</f>
        <v>0</v>
      </c>
      <c r="L10" s="16">
        <f ca="1">SUMIFS(tbControle[Qtde ReqC],tbControle[Comprador],$C$1,tbControle[Ano Trans.],$C$10,tbControle[Mês Trans.],9)</f>
        <v>0</v>
      </c>
      <c r="M10" s="16">
        <f ca="1">SUMIFS(tbControle[Qtde ReqC],tbControle[Comprador],$C$1,tbControle[Ano Trans.],$C$10,tbControle[Mês Trans.],10)</f>
        <v>0</v>
      </c>
      <c r="N10" s="16">
        <f ca="1">SUMIFS(tbControle[Qtde ReqC],tbControle[Comprador],$C$1,tbControle[Ano Trans.],$C$10,tbControle[Mês Trans.],11)</f>
        <v>0</v>
      </c>
      <c r="O10" s="16">
        <f ca="1">SUMIFS(tbControle[Qtde ReqC],tbControle[Comprador],$C$1,tbControle[Ano Trans.],$C$10,tbControle[Mês Trans.],12)</f>
        <v>0</v>
      </c>
      <c r="P10" s="16">
        <f ca="1">AVERAGE(D10:O10)</f>
        <v>0</v>
      </c>
      <c r="Q10" s="16">
        <f ca="1">SUM(D10:O10)</f>
        <v>0</v>
      </c>
      <c r="R10" s="17"/>
      <c r="S10" s="17">
        <f ca="1">IFERROR(Q10/$X$1,0)</f>
        <v>0</v>
      </c>
      <c r="T10" s="17"/>
      <c r="U10" s="17"/>
      <c r="V10" s="10">
        <v>3</v>
      </c>
      <c r="W10" s="10" t="str">
        <f t="shared" ca="1" si="3"/>
        <v>Pendente</v>
      </c>
      <c r="X10" s="16">
        <f t="shared" ca="1" si="4"/>
        <v>1</v>
      </c>
      <c r="AF10" s="9"/>
      <c r="AG10" s="9"/>
      <c r="AH10" s="9"/>
    </row>
    <row r="11" spans="1:34" x14ac:dyDescent="0.25">
      <c r="C11" s="9" t="s">
        <v>33</v>
      </c>
      <c r="D11" s="16">
        <f>SUMIFS(tbControle[Qtde ReqC],tbControle[Comprador],$C$1,tbControle[Mês Trans.],1)</f>
        <v>0</v>
      </c>
      <c r="E11" s="16">
        <f>SUMIFS(tbControle[Qtde ReqC],tbControle[Comprador],$C$1,tbControle[Mês Trans.],2)</f>
        <v>0</v>
      </c>
      <c r="F11" s="16">
        <f>SUMIFS(tbControle[Qtde ReqC],tbControle[Comprador],$C$1,tbControle[Mês Trans.],3)</f>
        <v>0</v>
      </c>
      <c r="G11" s="16">
        <f>SUMIFS(tbControle[Qtde ReqC],tbControle[Comprador],$C$1,tbControle[Mês Trans.],4)</f>
        <v>0</v>
      </c>
      <c r="H11" s="16">
        <f>SUMIFS(tbControle[Qtde ReqC],tbControle[Comprador],$C$1,tbControle[Mês Trans.],5)</f>
        <v>2</v>
      </c>
      <c r="I11" s="16">
        <f>SUMIFS(tbControle[Qtde ReqC],tbControle[Comprador],$C$1,tbControle[Mês Trans.],6)</f>
        <v>1.9999999999999996</v>
      </c>
      <c r="J11" s="16">
        <f>SUMIFS(tbControle[Qtde ReqC],tbControle[Comprador],$C$1,tbControle[Mês Trans.],7)</f>
        <v>0</v>
      </c>
      <c r="K11" s="16">
        <f>SUMIFS(tbControle[Qtde ReqC],tbControle[Comprador],$C$1,tbControle[Mês Trans.],8)</f>
        <v>0</v>
      </c>
      <c r="L11" s="16">
        <f>SUMIFS(tbControle[Qtde ReqC],tbControle[Comprador],$C$1,tbControle[Mês Trans.],9)</f>
        <v>0</v>
      </c>
      <c r="M11" s="16">
        <f>SUMIFS(tbControle[Qtde ReqC],tbControle[Comprador],$C$1,tbControle[Mês Trans.],10)</f>
        <v>0</v>
      </c>
      <c r="N11" s="16">
        <f>SUMIFS(tbControle[Qtde ReqC],tbControle[Comprador],$C$1,tbControle[Mês Trans.],11)</f>
        <v>0</v>
      </c>
      <c r="O11" s="16">
        <f>SUMIFS(tbControle[Qtde ReqC],tbControle[Comprador],$C$1,tbControle[Mês Trans.],12)</f>
        <v>0</v>
      </c>
      <c r="P11" s="16">
        <f>AVERAGE(D11:O11)</f>
        <v>0.33333333333333331</v>
      </c>
      <c r="Q11" s="16">
        <f>SUM(D11:O11)</f>
        <v>3.9999999999999996</v>
      </c>
      <c r="V11" s="10">
        <v>4</v>
      </c>
      <c r="W11" s="10" t="str">
        <f t="shared" ca="1" si="3"/>
        <v>Em andamento</v>
      </c>
      <c r="X11" s="16">
        <f t="shared" ca="1" si="4"/>
        <v>0</v>
      </c>
      <c r="AF11" s="9" t="s">
        <v>43</v>
      </c>
      <c r="AG11" s="9"/>
      <c r="AH11" s="9"/>
    </row>
    <row r="12" spans="1:34" x14ac:dyDescent="0.25">
      <c r="C12" s="9" t="s">
        <v>29</v>
      </c>
      <c r="D12" s="16">
        <f>$P$11</f>
        <v>0.33333333333333331</v>
      </c>
      <c r="E12" s="16">
        <f t="shared" ref="E12:O12" si="5">$P$11</f>
        <v>0.33333333333333331</v>
      </c>
      <c r="F12" s="16">
        <f t="shared" si="5"/>
        <v>0.33333333333333331</v>
      </c>
      <c r="G12" s="16">
        <f t="shared" si="5"/>
        <v>0.33333333333333331</v>
      </c>
      <c r="H12" s="16">
        <f t="shared" si="5"/>
        <v>0.33333333333333331</v>
      </c>
      <c r="I12" s="16">
        <f t="shared" si="5"/>
        <v>0.33333333333333331</v>
      </c>
      <c r="J12" s="16">
        <f t="shared" si="5"/>
        <v>0.33333333333333331</v>
      </c>
      <c r="K12" s="16">
        <f t="shared" si="5"/>
        <v>0.33333333333333331</v>
      </c>
      <c r="L12" s="16">
        <f t="shared" si="5"/>
        <v>0.33333333333333331</v>
      </c>
      <c r="M12" s="16">
        <f t="shared" si="5"/>
        <v>0.33333333333333331</v>
      </c>
      <c r="N12" s="16">
        <f t="shared" si="5"/>
        <v>0.33333333333333331</v>
      </c>
      <c r="O12" s="16">
        <f t="shared" si="5"/>
        <v>0.33333333333333331</v>
      </c>
      <c r="AF12" s="16">
        <f ca="1">IFERROR(SUMIFS(tbControle[Aging Fracion.],tbControle[Comprador],$C$1,tbControle[Ano Trans.],$C$4)/$AF$9,0)</f>
        <v>4.1538461538461551</v>
      </c>
      <c r="AG12" s="9"/>
      <c r="AH12" s="9"/>
    </row>
    <row r="13" spans="1:34" x14ac:dyDescent="0.25">
      <c r="C13" s="9" t="s">
        <v>34</v>
      </c>
      <c r="D13" s="16" t="e">
        <f>IF(D11="","",IF(D11=LARGE($D$11:$O$11,1),D11,NA()))</f>
        <v>#N/A</v>
      </c>
      <c r="E13" s="16" t="e">
        <f t="shared" ref="E13:O13" si="6">IF(E11="","",IF(E11=LARGE($D$11:$O$11,1),E11,NA()))</f>
        <v>#N/A</v>
      </c>
      <c r="F13" s="16" t="e">
        <f t="shared" si="6"/>
        <v>#N/A</v>
      </c>
      <c r="G13" s="16" t="e">
        <f t="shared" si="6"/>
        <v>#N/A</v>
      </c>
      <c r="H13" s="16">
        <f t="shared" si="6"/>
        <v>2</v>
      </c>
      <c r="I13" s="16">
        <f t="shared" si="6"/>
        <v>1.9999999999999996</v>
      </c>
      <c r="J13" s="16" t="e">
        <f t="shared" si="6"/>
        <v>#N/A</v>
      </c>
      <c r="K13" s="16" t="e">
        <f t="shared" si="6"/>
        <v>#N/A</v>
      </c>
      <c r="L13" s="16" t="e">
        <f t="shared" si="6"/>
        <v>#N/A</v>
      </c>
      <c r="M13" s="16" t="e">
        <f t="shared" si="6"/>
        <v>#N/A</v>
      </c>
      <c r="N13" s="16" t="e">
        <f t="shared" si="6"/>
        <v>#N/A</v>
      </c>
      <c r="O13" s="16" t="e">
        <f t="shared" si="6"/>
        <v>#N/A</v>
      </c>
    </row>
    <row r="14" spans="1:34" x14ac:dyDescent="0.25">
      <c r="D14" s="16"/>
      <c r="E14" s="16"/>
      <c r="F14" s="16"/>
      <c r="G14" s="16"/>
      <c r="H14" s="16"/>
      <c r="I14" s="16"/>
      <c r="J14" s="16"/>
      <c r="K14" s="16"/>
      <c r="L14" s="16"/>
      <c r="M14" s="16"/>
      <c r="N14" s="16"/>
      <c r="O14" s="16"/>
    </row>
    <row r="15" spans="1:34" x14ac:dyDescent="0.25">
      <c r="D15" s="16"/>
      <c r="E15" s="16"/>
      <c r="F15" s="16"/>
      <c r="G15" s="16"/>
      <c r="H15" s="16"/>
      <c r="I15" s="16"/>
      <c r="J15" s="16"/>
      <c r="K15" s="16"/>
      <c r="L15" s="16"/>
      <c r="M15" s="16"/>
      <c r="N15" s="16"/>
      <c r="O15" s="16"/>
    </row>
    <row r="16" spans="1:34" x14ac:dyDescent="0.25">
      <c r="D16" s="26" t="str">
        <f ca="1">CONCATENATE("REQUISIÇÕES ",$C$18)</f>
        <v>REQUISIÇÕES 2020</v>
      </c>
      <c r="E16" s="26"/>
      <c r="F16" s="26"/>
      <c r="G16" s="26"/>
      <c r="H16" s="26"/>
      <c r="I16" s="26"/>
      <c r="J16" s="26"/>
      <c r="K16" s="26"/>
      <c r="L16" s="26"/>
      <c r="M16" s="26"/>
      <c r="N16" s="26"/>
      <c r="O16" s="26"/>
    </row>
    <row r="17" spans="3:15" x14ac:dyDescent="0.25">
      <c r="D17" s="9" t="s">
        <v>17</v>
      </c>
      <c r="E17" s="9" t="s">
        <v>18</v>
      </c>
      <c r="F17" s="9" t="s">
        <v>19</v>
      </c>
      <c r="G17" s="9" t="s">
        <v>20</v>
      </c>
      <c r="H17" s="9" t="s">
        <v>21</v>
      </c>
      <c r="I17" s="9" t="s">
        <v>22</v>
      </c>
      <c r="J17" s="9" t="s">
        <v>23</v>
      </c>
      <c r="K17" s="9" t="s">
        <v>24</v>
      </c>
      <c r="L17" s="9" t="s">
        <v>25</v>
      </c>
      <c r="M17" s="9" t="s">
        <v>26</v>
      </c>
      <c r="N17" s="9" t="s">
        <v>27</v>
      </c>
      <c r="O17" s="9" t="s">
        <v>28</v>
      </c>
    </row>
    <row r="18" spans="3:15" x14ac:dyDescent="0.25">
      <c r="C18" s="9">
        <f ca="1">C4</f>
        <v>2020</v>
      </c>
      <c r="D18" s="16">
        <f ca="1">IF($D$4&gt;=1,SUMIFS(tbControle[Qtde ReqC],tbControle[Comprador],$C$1,tbControle[Ano Trans.],$C$18,tbControle[Mês Trans.],1),NA())</f>
        <v>0</v>
      </c>
      <c r="E18" s="16">
        <f ca="1">IF($D$4&gt;=2,SUMIFS(tbControle[Qtde ReqC],tbControle[Comprador],$C$1,tbControle[Ano Trans.],$C$18,tbControle[Mês Trans.],2),NA())</f>
        <v>0</v>
      </c>
      <c r="F18" s="16">
        <f ca="1">IF($D$4&gt;=3,SUMIFS(tbControle[Qtde ReqC],tbControle[Comprador],$C$1,tbControle[Ano Trans.],$C$18,tbControle[Mês Trans.],3),NA())</f>
        <v>0</v>
      </c>
      <c r="G18" s="16">
        <f ca="1">IF($D$4&gt;=4,SUMIFS(tbControle[Qtde ReqC],tbControle[Comprador],$C$1,tbControle[Ano Trans.],$C$18,tbControle[Mês Trans.],4),NA())</f>
        <v>0</v>
      </c>
      <c r="H18" s="16">
        <f ca="1">IF($D$4&gt;=5,SUMIFS(tbControle[Qtde ReqC],tbControle[Comprador],$C$1,tbControle[Ano Trans.],$C$18,tbControle[Mês Trans.],5),NA())</f>
        <v>2</v>
      </c>
      <c r="I18" s="16">
        <f ca="1">IF($D$4&gt;=6,SUMIFS(tbControle[Qtde ReqC],tbControle[Comprador],$C$1,tbControle[Ano Trans.],$C$18,tbControle[Mês Trans.],6),NA())</f>
        <v>1.9999999999999996</v>
      </c>
      <c r="J18" s="16">
        <f ca="1">IF($D$4&gt;=7,SUMIFS(tbControle[Qtde ReqC],tbControle[Comprador],$C$1,tbControle[Ano Trans.],$C$18,tbControle[Mês Trans.],7),NA())</f>
        <v>0</v>
      </c>
      <c r="K18" s="16" t="e">
        <f ca="1">IF($D$4&gt;=8,SUMIFS(tbControle[Qtde ReqC],tbControle[Comprador],$C$1,tbControle[Ano Trans.],$C$18,tbControle[Mês Trans.],8),NA())</f>
        <v>#N/A</v>
      </c>
      <c r="L18" s="16" t="e">
        <f ca="1">IF($D$4&gt;=9,SUMIFS(tbControle[Qtde ReqC],tbControle[Comprador],$C$1,tbControle[Ano Trans.],$C$18,tbControle[Mês Trans.],9),NA())</f>
        <v>#N/A</v>
      </c>
      <c r="M18" s="16" t="e">
        <f ca="1">IF($D$4&gt;=10,SUMIFS(tbControle[Qtde ReqC],tbControle[Comprador],$C$1,tbControle[Ano Trans.],$C$18,tbControle[Mês Trans.],10),NA())</f>
        <v>#N/A</v>
      </c>
      <c r="N18" s="16" t="e">
        <f ca="1">IF($D$4&gt;=11,SUMIFS(tbControle[Qtde ReqC],tbControle[Comprador],$C$1,tbControle[Ano Trans.],$C$18,tbControle[Mês Trans.],11),NA())</f>
        <v>#N/A</v>
      </c>
      <c r="O18" s="16" t="e">
        <f ca="1">IF($D$4&gt;=12,SUMIFS(tbControle[Qtde ReqC],tbControle[Comprador],$C$1,tbControle[Ano Trans.],$C$18,tbControle[Mês Trans.],12),NA())</f>
        <v>#N/A</v>
      </c>
    </row>
  </sheetData>
  <sheetProtection algorithmName="SHA-512" hashValue="Q9pBjF9wX6L6JYJVAbZZX733hREgfLax/Zg33EnKFii0d063sT82Iu7O2XOfr0BNJTcsFHg7ZKkKrrQAekp3ZQ==" saltValue="g0vCJQFzDJ5BTEjMqiuIDw==" spinCount="100000" sheet="1" objects="1" scenarios="1" selectLockedCells="1" selectUnlockedCells="1"/>
  <pageMargins left="0.511811024" right="0.511811024" top="0.78740157499999996" bottom="0.78740157499999996" header="0.31496062000000002" footer="0.31496062000000002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A905112E-A986-4963-81AE-61E98A3DBDB5}">
            <x14:iconSet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Arrows" iconId="0"/>
              <x14:cfIcon iconSet="3TrafficLights1" iconId="1"/>
              <x14:cfIcon iconSet="3Arrows" iconId="2"/>
            </x14:iconSet>
          </x14:cfRule>
          <xm:sqref>AD3:AD7</xm:sqref>
        </x14:conditionalFormatting>
        <x14:conditionalFormatting xmlns:xm="http://schemas.microsoft.com/office/excel/2006/main">
          <x14:cfRule type="iconSet" priority="2" id="{D8CE52AE-38E0-407D-BAF8-770D260A5694}">
            <x14:iconSet iconSet="3Symbols" custom="1">
              <x14:cfvo type="percent">
                <xm:f>0</xm:f>
              </x14:cfvo>
              <x14:cfvo type="num" gte="0">
                <xm:f>0</xm:f>
              </x14:cfvo>
              <x14:cfvo type="num">
                <xm:f>0</xm:f>
              </x14:cfvo>
              <x14:cfIcon iconSet="3Symbols" iconId="0"/>
              <x14:cfIcon iconSet="3Symbols" iconId="1"/>
              <x14:cfIcon iconSet="3Symbols" iconId="2"/>
            </x14:iconSet>
          </x14:cfRule>
          <xm:sqref>R9:R10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7</vt:i4>
      </vt:variant>
      <vt:variant>
        <vt:lpstr>Intervalos Nomeados</vt:lpstr>
      </vt:variant>
      <vt:variant>
        <vt:i4>2</vt:i4>
      </vt:variant>
    </vt:vector>
  </HeadingPairs>
  <TitlesOfParts>
    <vt:vector size="9" baseType="lpstr">
      <vt:lpstr>Controle</vt:lpstr>
      <vt:lpstr>Dashboard Geral</vt:lpstr>
      <vt:lpstr>Dashboard Compradores</vt:lpstr>
      <vt:lpstr>Dados</vt:lpstr>
      <vt:lpstr>Transferências</vt:lpstr>
      <vt:lpstr>Análise Geral</vt:lpstr>
      <vt:lpstr>Análise Comprador</vt:lpstr>
      <vt:lpstr>'Dashboard Compradores'!Area_de_impressao</vt:lpstr>
      <vt:lpstr>'Dashboard Geral'!Area_de_impressao</vt:lpstr>
    </vt:vector>
  </TitlesOfParts>
  <Company>Petrobras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mekylei@msn.com</dc:creator>
  <cp:lastModifiedBy>Mekylei Belchior</cp:lastModifiedBy>
  <cp:lastPrinted>2020-07-25T13:10:21Z</cp:lastPrinted>
  <dcterms:created xsi:type="dcterms:W3CDTF">2020-06-18T21:47:38Z</dcterms:created>
  <dcterms:modified xsi:type="dcterms:W3CDTF">2020-07-28T18:54:15Z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8e61996e-cafd-4c9a-8a94-2dc1b82131ae_Enabled">
    <vt:lpwstr>True</vt:lpwstr>
  </property>
  <property fmtid="{D5CDD505-2E9C-101B-9397-08002B2CF9AE}" pid="3" name="MSIP_Label_8e61996e-cafd-4c9a-8a94-2dc1b82131ae_SiteId">
    <vt:lpwstr>5b6f6241-9a57-4be4-8e50-1dfa72e79a57</vt:lpwstr>
  </property>
  <property fmtid="{D5CDD505-2E9C-101B-9397-08002B2CF9AE}" pid="4" name="MSIP_Label_8e61996e-cafd-4c9a-8a94-2dc1b82131ae_Owner">
    <vt:lpwstr>viviane.duarte.KEMPETRO@petrobras.com.br</vt:lpwstr>
  </property>
  <property fmtid="{D5CDD505-2E9C-101B-9397-08002B2CF9AE}" pid="5" name="MSIP_Label_8e61996e-cafd-4c9a-8a94-2dc1b82131ae_SetDate">
    <vt:lpwstr>2020-06-18T21:48:22.6033620Z</vt:lpwstr>
  </property>
  <property fmtid="{D5CDD505-2E9C-101B-9397-08002B2CF9AE}" pid="6" name="MSIP_Label_8e61996e-cafd-4c9a-8a94-2dc1b82131ae_Name">
    <vt:lpwstr>NP-1</vt:lpwstr>
  </property>
  <property fmtid="{D5CDD505-2E9C-101B-9397-08002B2CF9AE}" pid="7" name="MSIP_Label_8e61996e-cafd-4c9a-8a94-2dc1b82131ae_Application">
    <vt:lpwstr>Microsoft Azure Information Protection</vt:lpwstr>
  </property>
  <property fmtid="{D5CDD505-2E9C-101B-9397-08002B2CF9AE}" pid="8" name="MSIP_Label_8e61996e-cafd-4c9a-8a94-2dc1b82131ae_ActionId">
    <vt:lpwstr>d4f5ea14-c262-4b0e-989f-c3d472d06604</vt:lpwstr>
  </property>
  <property fmtid="{D5CDD505-2E9C-101B-9397-08002B2CF9AE}" pid="9" name="MSIP_Label_8e61996e-cafd-4c9a-8a94-2dc1b82131ae_Extended_MSFT_Method">
    <vt:lpwstr>Automatic</vt:lpwstr>
  </property>
  <property fmtid="{D5CDD505-2E9C-101B-9397-08002B2CF9AE}" pid="10" name="Sensitivity">
    <vt:lpwstr>NP-1</vt:lpwstr>
  </property>
</Properties>
</file>